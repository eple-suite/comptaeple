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Y:\Agence comptable\01_collège Maurice SATINEAU\05_op@le\2025\04_comptabilité\04_travaux périodiques\REPROFI4.6_clg_satineau\EXTRACTIONS\"/>
    </mc:Choice>
  </mc:AlternateContent>
  <xr:revisionPtr revIDLastSave="0" documentId="8_{0743EBBA-E629-4EBA-9F2E-A705408D85E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Balance" sheetId="3" r:id="rId1"/>
    <sheet name="Donnees" sheetId="1" r:id="rId2"/>
  </sheets>
  <calcPr calcId="191029"/>
  <pivotCaches>
    <pivotCache cacheId="14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1" l="1"/>
  <c r="K2" i="1"/>
  <c r="I2" i="1"/>
  <c r="G2" i="1"/>
  <c r="E2" i="1"/>
  <c r="I1" i="3" l="1"/>
  <c r="C2" i="1" l="1"/>
  <c r="E2" i="3" l="1"/>
  <c r="B2" i="1" l="1"/>
  <c r="D4" i="3" s="1"/>
  <c r="B1" i="1"/>
  <c r="D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yannick dieu</author>
  </authors>
  <commentList>
    <comment ref="A1" authorId="0" shapeId="0" xr:uid="{E86D6849-0645-49AA-BC1E-28557FA8DCA5}">
      <text>
        <r>
          <rPr>
            <sz val="9"/>
            <color indexed="81"/>
            <rFont val="Tahoma"/>
            <family val="2"/>
          </rPr>
          <t>I2_01 - D1.000 - YAD - 15/04/2021 - Calcul des montants antérieurs et des soldes pour n'avoir une valeur qu'au débit ou au crédit
J1_01 - D1.001 - YAD - 09/03/2023 - Affichage du séparateur des milliers sur les montants
J1_01 - D1.002 - PFR - 02/11/2023 - Augmentation largeur des colonnes montant dans l'onglet Donnees</t>
        </r>
      </text>
    </comment>
  </commentList>
</comments>
</file>

<file path=xl/sharedStrings.xml><?xml version="1.0" encoding="utf-8"?>
<sst xmlns="http://schemas.openxmlformats.org/spreadsheetml/2006/main" count="1796" uniqueCount="499">
  <si>
    <t>Étiquettes de lignes</t>
  </si>
  <si>
    <t>Total général</t>
  </si>
  <si>
    <t>Compte</t>
  </si>
  <si>
    <t>Cumuls antérieurs</t>
  </si>
  <si>
    <t>Débit</t>
  </si>
  <si>
    <t>Crédit</t>
  </si>
  <si>
    <t>Période</t>
  </si>
  <si>
    <t>Soldes</t>
  </si>
  <si>
    <t>Intitulé réduit</t>
  </si>
  <si>
    <t>Compte et intitulé</t>
  </si>
  <si>
    <t>Type</t>
  </si>
  <si>
    <t>Montant débit antérieur</t>
  </si>
  <si>
    <t>Montant crédit antérieur</t>
  </si>
  <si>
    <t>Montant débit</t>
  </si>
  <si>
    <t>Montant crédit</t>
  </si>
  <si>
    <t>Solde débit</t>
  </si>
  <si>
    <t>Solde crédit</t>
  </si>
  <si>
    <t>Poste</t>
  </si>
  <si>
    <t>Classe de compte</t>
  </si>
  <si>
    <t>Sous-classe de compte</t>
  </si>
  <si>
    <t>Sous-sous-classe de compte</t>
  </si>
  <si>
    <t>Etablissement</t>
  </si>
  <si>
    <t>Rupture 1</t>
  </si>
  <si>
    <t>Libellé rupture 1</t>
  </si>
  <si>
    <t>Rupture et libellé 1</t>
  </si>
  <si>
    <t>Rupture 2</t>
  </si>
  <si>
    <t>Libellé rupture 2</t>
  </si>
  <si>
    <t>Rupture et libellé 3</t>
  </si>
  <si>
    <t>Rupture et libellé 2</t>
  </si>
  <si>
    <t>Rupture 3</t>
  </si>
  <si>
    <t>Libellé rupture 3</t>
  </si>
  <si>
    <t>Rupture 4</t>
  </si>
  <si>
    <t>Libellé rupture 4</t>
  </si>
  <si>
    <t>Rupture et libellé 4</t>
  </si>
  <si>
    <t>Début d'exercice</t>
  </si>
  <si>
    <t>Fin d'exercice</t>
  </si>
  <si>
    <t>Job</t>
  </si>
  <si>
    <t>Utilisateur</t>
  </si>
  <si>
    <t>Date</t>
  </si>
  <si>
    <t>Somme de Montant débit</t>
  </si>
  <si>
    <t>Somme de Montant crédit</t>
  </si>
  <si>
    <t>Date :</t>
  </si>
  <si>
    <t>Utilisateur :</t>
  </si>
  <si>
    <t>Job :</t>
  </si>
  <si>
    <t>Date de fin d'exercice :</t>
  </si>
  <si>
    <t>Date de début d'exercice :</t>
  </si>
  <si>
    <t>Etablissement :</t>
  </si>
  <si>
    <t>Période de fin</t>
  </si>
  <si>
    <t>Période de début</t>
  </si>
  <si>
    <t>Période de début :</t>
  </si>
  <si>
    <t>Période de fin :</t>
  </si>
  <si>
    <t>Intitulé réduit du compte</t>
  </si>
  <si>
    <t>Intitulé réduit du poste</t>
  </si>
  <si>
    <t>Somme de Affichage Solde débit</t>
  </si>
  <si>
    <t>Somme de Affichage Solde crédit</t>
  </si>
  <si>
    <t>Somme de Montant débit antérieur</t>
  </si>
  <si>
    <t>Somme de Montant crédit antérieur</t>
  </si>
  <si>
    <t>106810</t>
  </si>
  <si>
    <t>RESERVES ETAB.</t>
  </si>
  <si>
    <t>106810 - RESERVES ETAB.</t>
  </si>
  <si>
    <t>0</t>
  </si>
  <si>
    <t>SANS POSTE</t>
  </si>
  <si>
    <t>1</t>
  </si>
  <si>
    <t>10</t>
  </si>
  <si>
    <t>106</t>
  </si>
  <si>
    <t>P03427</t>
  </si>
  <si>
    <t>1 -</t>
  </si>
  <si>
    <t>-</t>
  </si>
  <si>
    <t>9710040S</t>
  </si>
  <si>
    <t>01/01/2026</t>
  </si>
  <si>
    <t>31/12/2026</t>
  </si>
  <si>
    <t>102046858</t>
  </si>
  <si>
    <t>032FRANTZFRANCOISC01</t>
  </si>
  <si>
    <t>30/03/2026</t>
  </si>
  <si>
    <t>01/2025</t>
  </si>
  <si>
    <t>12/2025</t>
  </si>
  <si>
    <t>129000</t>
  </si>
  <si>
    <t>RESULTAT EX.DEFICIT</t>
  </si>
  <si>
    <t>129000 - RESULTAT EX.DEFICIT</t>
  </si>
  <si>
    <t>12</t>
  </si>
  <si>
    <t>129</t>
  </si>
  <si>
    <t>134130</t>
  </si>
  <si>
    <t>V.I.FIN.RAT.ACT.DEP</t>
  </si>
  <si>
    <t>134130 - V.I.FIN.RAT.ACT.DEP</t>
  </si>
  <si>
    <t>13</t>
  </si>
  <si>
    <t>134</t>
  </si>
  <si>
    <t>134930</t>
  </si>
  <si>
    <t>REP.REST.FIN.R.A.DEP</t>
  </si>
  <si>
    <t>134930 - REP.REST.FIN.R.A.DEP</t>
  </si>
  <si>
    <t>212000</t>
  </si>
  <si>
    <t>AGT-AMT TERRAIN</t>
  </si>
  <si>
    <t>212000 - AGT-AMT TERRAIN</t>
  </si>
  <si>
    <t>2</t>
  </si>
  <si>
    <t>21</t>
  </si>
  <si>
    <t>212</t>
  </si>
  <si>
    <t>2 -</t>
  </si>
  <si>
    <t>213000</t>
  </si>
  <si>
    <t>CONSTRUCTIONS</t>
  </si>
  <si>
    <t>213000 - CONSTRUCTIONS</t>
  </si>
  <si>
    <t>213</t>
  </si>
  <si>
    <t>215000</t>
  </si>
  <si>
    <t>INST. TECHN-MAT</t>
  </si>
  <si>
    <t>215000 - INST. TECHN-MAT</t>
  </si>
  <si>
    <t>215</t>
  </si>
  <si>
    <t>218200</t>
  </si>
  <si>
    <t>MATERIEL TRANSPORT</t>
  </si>
  <si>
    <t>218200 - MATERIEL TRANSPORT</t>
  </si>
  <si>
    <t>218</t>
  </si>
  <si>
    <t>218300</t>
  </si>
  <si>
    <t>MAT. BUR. &amp; INFORMAT</t>
  </si>
  <si>
    <t>218300 - MAT. BUR. &amp; INFORMAT</t>
  </si>
  <si>
    <t>218400</t>
  </si>
  <si>
    <t>MOBILIER</t>
  </si>
  <si>
    <t>218400 - MOBILIER</t>
  </si>
  <si>
    <t>281200</t>
  </si>
  <si>
    <t>AMORT.AGT.AMEGT.TERR</t>
  </si>
  <si>
    <t>281200 - AMORT.AGT.AMEGT.TERR</t>
  </si>
  <si>
    <t>28</t>
  </si>
  <si>
    <t>281</t>
  </si>
  <si>
    <t>281300</t>
  </si>
  <si>
    <t>AMORT.CONSTR</t>
  </si>
  <si>
    <t>281300 - AMORT.CONSTR</t>
  </si>
  <si>
    <t>281500</t>
  </si>
  <si>
    <t>AMORT.INSTALLATION</t>
  </si>
  <si>
    <t>281500 - AMORT.INSTALLATION</t>
  </si>
  <si>
    <t>281820</t>
  </si>
  <si>
    <t>AMT.MAT.TRANSPORT</t>
  </si>
  <si>
    <t>281820 - AMT.MAT.TRANSPORT</t>
  </si>
  <si>
    <t>281830</t>
  </si>
  <si>
    <t>AMT.MAT.BUREAU&amp;INF.</t>
  </si>
  <si>
    <t>281830 - AMT.MAT.BUREAU&amp;INF.</t>
  </si>
  <si>
    <t>281840</t>
  </si>
  <si>
    <t>AMT.MOBILIER</t>
  </si>
  <si>
    <t>281840 - AMT.MOBILIER</t>
  </si>
  <si>
    <t>401200</t>
  </si>
  <si>
    <t>FOURN - ACHATS B&amp;S</t>
  </si>
  <si>
    <t>401200 - FOURN - ACHATS B&amp;S</t>
  </si>
  <si>
    <t>4</t>
  </si>
  <si>
    <t>40</t>
  </si>
  <si>
    <t>401</t>
  </si>
  <si>
    <t>4 -</t>
  </si>
  <si>
    <t>408100</t>
  </si>
  <si>
    <t>FOURNISSEURS - FNP</t>
  </si>
  <si>
    <t>408100 - FOURNISSEURS - FNP</t>
  </si>
  <si>
    <t>408</t>
  </si>
  <si>
    <t>409800</t>
  </si>
  <si>
    <t>RRR A OBT. ET A.AVO.</t>
  </si>
  <si>
    <t>409800 - RRR A OBT. ET A.AVO.</t>
  </si>
  <si>
    <t>409</t>
  </si>
  <si>
    <t>411200</t>
  </si>
  <si>
    <t>ELEVES-REST.HEBERG.</t>
  </si>
  <si>
    <t>411200 - ELEVES-REST.HEBERG.</t>
  </si>
  <si>
    <t>41</t>
  </si>
  <si>
    <t>411</t>
  </si>
  <si>
    <t>411300</t>
  </si>
  <si>
    <t>REST.PRESTATION</t>
  </si>
  <si>
    <t>411300 - REST.PRESTATION</t>
  </si>
  <si>
    <t>412800</t>
  </si>
  <si>
    <t>AUTRES PRESTA.</t>
  </si>
  <si>
    <t>412800 - AUTRES PRESTA.</t>
  </si>
  <si>
    <t>412</t>
  </si>
  <si>
    <t>416000</t>
  </si>
  <si>
    <t>CLTS.DOUTEUX.LITIG</t>
  </si>
  <si>
    <t>416000 - CLTS.DOUTEUX.LITIG</t>
  </si>
  <si>
    <t>416</t>
  </si>
  <si>
    <t>419100</t>
  </si>
  <si>
    <t>AVANCE RECUE REST.</t>
  </si>
  <si>
    <t>419100 - AVANCE RECUE REST.</t>
  </si>
  <si>
    <t>419</t>
  </si>
  <si>
    <t>421000</t>
  </si>
  <si>
    <t>PERSO REMUN DUES</t>
  </si>
  <si>
    <t>421000 - PERSO REMUN DUES</t>
  </si>
  <si>
    <t>42</t>
  </si>
  <si>
    <t>421</t>
  </si>
  <si>
    <t>441110</t>
  </si>
  <si>
    <t>ETAT - SUBV FCT</t>
  </si>
  <si>
    <t>441110 - ETAT - SUBV FCT</t>
  </si>
  <si>
    <t>44</t>
  </si>
  <si>
    <t>441</t>
  </si>
  <si>
    <t>441130</t>
  </si>
  <si>
    <t>ETAT - SUBV P141</t>
  </si>
  <si>
    <t>441130 - ETAT - SUBV P141</t>
  </si>
  <si>
    <t>441150</t>
  </si>
  <si>
    <t>ETAT-SUBV P230 AED</t>
  </si>
  <si>
    <t>441150 - ETAT-SUBV P230 AED</t>
  </si>
  <si>
    <t>441160</t>
  </si>
  <si>
    <t>ETAT-SUBV P230 AUTRE</t>
  </si>
  <si>
    <t>441160 - ETAT-SUBV P230 AUTRE</t>
  </si>
  <si>
    <t>441180</t>
  </si>
  <si>
    <t>SUBV AUTRES MINIST.</t>
  </si>
  <si>
    <t>441180 - SUBV AUTRES MINIST.</t>
  </si>
  <si>
    <t>441220</t>
  </si>
  <si>
    <t>SUBV FCT</t>
  </si>
  <si>
    <t>441220 - SUBV FCT</t>
  </si>
  <si>
    <t>441250</t>
  </si>
  <si>
    <t>SUBV AIDES</t>
  </si>
  <si>
    <t>441250 - SUBV AIDES</t>
  </si>
  <si>
    <t>441280</t>
  </si>
  <si>
    <t>AUTRES SUBV CTR</t>
  </si>
  <si>
    <t>441280 - AUTRES SUBV CTR</t>
  </si>
  <si>
    <t>441480</t>
  </si>
  <si>
    <t>AUTRE SUBV ETAB PUB.</t>
  </si>
  <si>
    <t>441480 - AUTRE SUBV ETAB PUB.</t>
  </si>
  <si>
    <t>441600</t>
  </si>
  <si>
    <t>FINANCEMENTS EUR.</t>
  </si>
  <si>
    <t>441600 - FINANCEMENTS EUR.</t>
  </si>
  <si>
    <t>441800</t>
  </si>
  <si>
    <t>AUTRES SUBVENTIONS</t>
  </si>
  <si>
    <t>441800 - AUTRES SUBVENTIONS</t>
  </si>
  <si>
    <t>441913</t>
  </si>
  <si>
    <t>ETAT-AV SUB P141</t>
  </si>
  <si>
    <t>441913 - ETAT-AV SUB P141</t>
  </si>
  <si>
    <t>441916</t>
  </si>
  <si>
    <t>ETAT-AV SUB P230AUT.</t>
  </si>
  <si>
    <t>441916 - ETAT-AV SUB P230AUT.</t>
  </si>
  <si>
    <t>441918</t>
  </si>
  <si>
    <t>AV SUB AUTRE MINIST.</t>
  </si>
  <si>
    <t>441918 - AV SUB AUTRE MINIST.</t>
  </si>
  <si>
    <t>441923</t>
  </si>
  <si>
    <t>CTR-AV SUBV. INVEST</t>
  </si>
  <si>
    <t>441923 - CTR-AV SUBV. INVEST</t>
  </si>
  <si>
    <t>441928</t>
  </si>
  <si>
    <t>AV AUTRE SUBV CTR</t>
  </si>
  <si>
    <t>441928 - AV AUTRE SUBV CTR</t>
  </si>
  <si>
    <t>441960</t>
  </si>
  <si>
    <t>AV SUB FIN.EUR.</t>
  </si>
  <si>
    <t>441960 - AV SUB FIN.EUR.</t>
  </si>
  <si>
    <t>441980</t>
  </si>
  <si>
    <t>AVANCES AUTRES SUB</t>
  </si>
  <si>
    <t>441980 - AVANCES AUTRES SUB</t>
  </si>
  <si>
    <t>443110</t>
  </si>
  <si>
    <t>OPE POUR ETAT-BOURSE</t>
  </si>
  <si>
    <t>443110 - OPE POUR ETAT-BOURSE</t>
  </si>
  <si>
    <t>443</t>
  </si>
  <si>
    <t>466210</t>
  </si>
  <si>
    <t>ELEVE-MAND. A PAYER</t>
  </si>
  <si>
    <t>466210 - ELEVE-MAND. A PAYER</t>
  </si>
  <si>
    <t>46</t>
  </si>
  <si>
    <t>466</t>
  </si>
  <si>
    <t>466300</t>
  </si>
  <si>
    <t>VIREMENT A REIMPUT.</t>
  </si>
  <si>
    <t>466300 - VIREMENT A REIMPUT.</t>
  </si>
  <si>
    <t>466400</t>
  </si>
  <si>
    <t>EXCED. VERST A REMB.</t>
  </si>
  <si>
    <t>466400 - EXCED. VERST A REMB.</t>
  </si>
  <si>
    <t>466810</t>
  </si>
  <si>
    <t>BOURS.DEDUC.A PAYER</t>
  </si>
  <si>
    <t>466810 - BOURS.DEDUC.A PAYER</t>
  </si>
  <si>
    <t>467600</t>
  </si>
  <si>
    <t>DONS ET LEGS</t>
  </si>
  <si>
    <t>467600 - DONS ET LEGS</t>
  </si>
  <si>
    <t>467</t>
  </si>
  <si>
    <t>468600</t>
  </si>
  <si>
    <t>AUTRES TIERS - CAP</t>
  </si>
  <si>
    <t>468600 - AUTRES TIERS - CAP</t>
  </si>
  <si>
    <t>468</t>
  </si>
  <si>
    <t>471800</t>
  </si>
  <si>
    <t>AUT.REC.A CLASSER</t>
  </si>
  <si>
    <t>471800 - AUT.REC.A CLASSER</t>
  </si>
  <si>
    <t>47</t>
  </si>
  <si>
    <t>471</t>
  </si>
  <si>
    <t>472100</t>
  </si>
  <si>
    <t>DAO</t>
  </si>
  <si>
    <t>472100 - DAO</t>
  </si>
  <si>
    <t>472</t>
  </si>
  <si>
    <t>472200</t>
  </si>
  <si>
    <t>DEPENSES A EFFECTUER</t>
  </si>
  <si>
    <t>472200 - DEPENSES A EFFECTUER</t>
  </si>
  <si>
    <t>511200</t>
  </si>
  <si>
    <t>CHEQ.  A ENCAISS.</t>
  </si>
  <si>
    <t>511200 - CHEQ.  A ENCAISS.</t>
  </si>
  <si>
    <t>5</t>
  </si>
  <si>
    <t>51</t>
  </si>
  <si>
    <t>511</t>
  </si>
  <si>
    <t>5 -</t>
  </si>
  <si>
    <t>511500</t>
  </si>
  <si>
    <t>CB A ENCAISS.</t>
  </si>
  <si>
    <t>511500 - CB A ENCAISS.</t>
  </si>
  <si>
    <t>511700</t>
  </si>
  <si>
    <t>EFFETS IMPAYES</t>
  </si>
  <si>
    <t>511700 - EFFETS IMPAYES</t>
  </si>
  <si>
    <t>515100</t>
  </si>
  <si>
    <t>COMPTE TRESOR</t>
  </si>
  <si>
    <t>515100 - COMPTE TRESOR</t>
  </si>
  <si>
    <t>515</t>
  </si>
  <si>
    <t>515900</t>
  </si>
  <si>
    <t>TRESOR REGL.EN COURS</t>
  </si>
  <si>
    <t>515900 - TRESOR REGL.EN COURS</t>
  </si>
  <si>
    <t>531000</t>
  </si>
  <si>
    <t>CAISSE</t>
  </si>
  <si>
    <t>531000 - CAISSE</t>
  </si>
  <si>
    <t>53</t>
  </si>
  <si>
    <t>531</t>
  </si>
  <si>
    <t>585000</t>
  </si>
  <si>
    <t>VIREMENT INTERNE</t>
  </si>
  <si>
    <t>585000 - VIREMENT INTERNE</t>
  </si>
  <si>
    <t>58</t>
  </si>
  <si>
    <t>585</t>
  </si>
  <si>
    <t>601100</t>
  </si>
  <si>
    <t>ACHATS DE DENREES</t>
  </si>
  <si>
    <t>601100 - ACHATS DE DENREES</t>
  </si>
  <si>
    <t>6</t>
  </si>
  <si>
    <t>60</t>
  </si>
  <si>
    <t>601</t>
  </si>
  <si>
    <t>6 -</t>
  </si>
  <si>
    <t>606110</t>
  </si>
  <si>
    <t>FOURN.NON ST.EAU</t>
  </si>
  <si>
    <t>606110 - FOURN.NON ST.EAU</t>
  </si>
  <si>
    <t>606</t>
  </si>
  <si>
    <t>606130</t>
  </si>
  <si>
    <t>FOURN.NON ST.ELECTRI</t>
  </si>
  <si>
    <t>606130 - FOURN.NON ST.ELECTRI</t>
  </si>
  <si>
    <t>606140</t>
  </si>
  <si>
    <t>FOURN.NO ST.CARB.LUB</t>
  </si>
  <si>
    <t>606140 - FOURN.NO ST.CARB.LUB</t>
  </si>
  <si>
    <t>606210</t>
  </si>
  <si>
    <t>MANUELS SCOLAIRES</t>
  </si>
  <si>
    <t>606210 - MANUELS SCOLAIRES</t>
  </si>
  <si>
    <t>606220</t>
  </si>
  <si>
    <t>OUVRAGES CDI</t>
  </si>
  <si>
    <t>606220 - OUVRAGES CDI</t>
  </si>
  <si>
    <t>606230</t>
  </si>
  <si>
    <t>DOC. ADMIN.</t>
  </si>
  <si>
    <t>606230 - DOC. ADMIN.</t>
  </si>
  <si>
    <t>606300</t>
  </si>
  <si>
    <t>FOURN.PETIT.MAT.ENTR</t>
  </si>
  <si>
    <t>606300 - FOURN.PETIT.MAT.ENTR</t>
  </si>
  <si>
    <t>606400</t>
  </si>
  <si>
    <t>FOURN.ADMINISTRATIVE</t>
  </si>
  <si>
    <t>606400 - FOURN.ADMINISTRATIVE</t>
  </si>
  <si>
    <t>606500</t>
  </si>
  <si>
    <t>LINGE,VETEMENTS TRAV</t>
  </si>
  <si>
    <t>606500 - LINGE,VETEMENTS TRAV</t>
  </si>
  <si>
    <t>606600</t>
  </si>
  <si>
    <t>INFIRM&amp;PROD. PHARMA</t>
  </si>
  <si>
    <t>606600 - INFIRM&amp;PROD. PHARMA</t>
  </si>
  <si>
    <t>606700</t>
  </si>
  <si>
    <t>F.MAT.ENS. NON IMM.</t>
  </si>
  <si>
    <t>606700 - F.MAT.ENS. NON IMM.</t>
  </si>
  <si>
    <t>606800</t>
  </si>
  <si>
    <t>MAT.MOB.OUT.NON IMM.</t>
  </si>
  <si>
    <t>606800 - MAT.MOB.OUT.NON IMM.</t>
  </si>
  <si>
    <t>611100</t>
  </si>
  <si>
    <t>/S-TRAIT. REST. H.</t>
  </si>
  <si>
    <t>611100 - /S-TRAIT. REST. H.</t>
  </si>
  <si>
    <t>61</t>
  </si>
  <si>
    <t>611</t>
  </si>
  <si>
    <t>611200</t>
  </si>
  <si>
    <t>/S-TRAIT. DIV.ENTR.</t>
  </si>
  <si>
    <t>611200 - /S-TRAIT. DIV.ENTR.</t>
  </si>
  <si>
    <t>611800</t>
  </si>
  <si>
    <t>/S-TRAIT. AUTRES</t>
  </si>
  <si>
    <t>611800 - /S-TRAIT. AUTRES</t>
  </si>
  <si>
    <t>612000</t>
  </si>
  <si>
    <t>REDEV. CREDIT-BAIL</t>
  </si>
  <si>
    <t>612000 - REDEV. CREDIT-BAIL</t>
  </si>
  <si>
    <t>612</t>
  </si>
  <si>
    <t>613200</t>
  </si>
  <si>
    <t>AUTRES LOCATIONS</t>
  </si>
  <si>
    <t>613200 - AUTRES LOCATIONS</t>
  </si>
  <si>
    <t>613</t>
  </si>
  <si>
    <t>615000</t>
  </si>
  <si>
    <t>ENTR. REPAR. EL.ACT.</t>
  </si>
  <si>
    <t>615000 - ENTR. REPAR. EL.ACT.</t>
  </si>
  <si>
    <t>615</t>
  </si>
  <si>
    <t>616000</t>
  </si>
  <si>
    <t>PRIMES D’ASSURANCE</t>
  </si>
  <si>
    <t>616000 - PRIMES D’ASSURANCE</t>
  </si>
  <si>
    <t>616</t>
  </si>
  <si>
    <t>618120</t>
  </si>
  <si>
    <t>OUVR. NUMERIQ. CDI</t>
  </si>
  <si>
    <t>618120 - OUVR. NUMERIQ. CDI</t>
  </si>
  <si>
    <t>618</t>
  </si>
  <si>
    <t>618130</t>
  </si>
  <si>
    <t>OUVR. NUMERIQ. ADM.</t>
  </si>
  <si>
    <t>618130 - OUVR. NUMERIQ. ADM.</t>
  </si>
  <si>
    <t>621000</t>
  </si>
  <si>
    <t>PERS. EXT. A L’ETAB.</t>
  </si>
  <si>
    <t>621000 - PERS. EXT. A L’ETAB.</t>
  </si>
  <si>
    <t>62</t>
  </si>
  <si>
    <t>621</t>
  </si>
  <si>
    <t>622000</t>
  </si>
  <si>
    <t>REMUN.INTERM.HONOR.</t>
  </si>
  <si>
    <t>622000 - REMUN.INTERM.HONOR.</t>
  </si>
  <si>
    <t>622</t>
  </si>
  <si>
    <t>624000</t>
  </si>
  <si>
    <t>TRANSP.B&amp;P. H.VOY.S.</t>
  </si>
  <si>
    <t>624000 - TRANSP.B&amp;P. H.VOY.S.</t>
  </si>
  <si>
    <t>624</t>
  </si>
  <si>
    <t>625111</t>
  </si>
  <si>
    <t>VOY.DEPL.EL. VOYAGES</t>
  </si>
  <si>
    <t>625111 - VOY.DEPL.EL. VOYAGES</t>
  </si>
  <si>
    <t>625</t>
  </si>
  <si>
    <t>625112</t>
  </si>
  <si>
    <t>VOY.DEPL.EL. SORTIES</t>
  </si>
  <si>
    <t>625112 - VOY.DEPL.EL. SORTIES</t>
  </si>
  <si>
    <t>625700</t>
  </si>
  <si>
    <t>FRAIS RECEP.(P.EXT.)</t>
  </si>
  <si>
    <t>625700 - FRAIS RECEP.(P.EXT.)</t>
  </si>
  <si>
    <t>626000</t>
  </si>
  <si>
    <t>FRAIS POST.TELECOM.</t>
  </si>
  <si>
    <t>626000 - FRAIS POST.TELECOM.</t>
  </si>
  <si>
    <t>626</t>
  </si>
  <si>
    <t>627000</t>
  </si>
  <si>
    <t>SERVICES BANCAIRES</t>
  </si>
  <si>
    <t>627000 - SERVICES BANCAIRES</t>
  </si>
  <si>
    <t>627</t>
  </si>
  <si>
    <t>628600</t>
  </si>
  <si>
    <t>CONCOURS DIVERS</t>
  </si>
  <si>
    <t>628600 - CONCOURS DIVERS</t>
  </si>
  <si>
    <t>628</t>
  </si>
  <si>
    <t>628700</t>
  </si>
  <si>
    <t>FACTUR. SERV.MUT.</t>
  </si>
  <si>
    <t>628700 - FACTUR. SERV.MUT.</t>
  </si>
  <si>
    <t>628800</t>
  </si>
  <si>
    <t>AUTRES CH. EXT. DIV.</t>
  </si>
  <si>
    <t>628800 - AUTRES CH. EXT. DIV.</t>
  </si>
  <si>
    <t>644700</t>
  </si>
  <si>
    <t>REMUN. ASSIST. EDUC.</t>
  </si>
  <si>
    <t>644700 - REMUN. ASSIST. EDUC.</t>
  </si>
  <si>
    <t>64</t>
  </si>
  <si>
    <t>644</t>
  </si>
  <si>
    <t>651100</t>
  </si>
  <si>
    <t>REDEV.CONCESS.BREV.</t>
  </si>
  <si>
    <t>651100 - REDEV.CONCESS.BREV.</t>
  </si>
  <si>
    <t>65</t>
  </si>
  <si>
    <t>651</t>
  </si>
  <si>
    <t>651600</t>
  </si>
  <si>
    <t>DROITS AUTEUR REPRO.</t>
  </si>
  <si>
    <t>651600 - DROITS AUTEUR REPRO.</t>
  </si>
  <si>
    <t>653200</t>
  </si>
  <si>
    <t>TRANFERT C.T.R.</t>
  </si>
  <si>
    <t>653200 - TRANFERT C.T.R.</t>
  </si>
  <si>
    <t>653</t>
  </si>
  <si>
    <t>657610</t>
  </si>
  <si>
    <t>AIDE SOCIALE EL.ETAT</t>
  </si>
  <si>
    <t>657610 - AIDE SOCIALE EL.ETAT</t>
  </si>
  <si>
    <t>657</t>
  </si>
  <si>
    <t>658800</t>
  </si>
  <si>
    <t>AUTRES CH.DIVERSES</t>
  </si>
  <si>
    <t>658800 - AUTRES CH.DIVERSES</t>
  </si>
  <si>
    <t>658</t>
  </si>
  <si>
    <t>681100</t>
  </si>
  <si>
    <t>DOT.IMMO.CORP.INCOR.</t>
  </si>
  <si>
    <t>681100 - DOT.IMMO.CORP.INCOR.</t>
  </si>
  <si>
    <t>68</t>
  </si>
  <si>
    <t>681</t>
  </si>
  <si>
    <t>706210</t>
  </si>
  <si>
    <t>REST.ELEVES FORFAIT</t>
  </si>
  <si>
    <t>706210 - REST.ELEVES FORFAIT</t>
  </si>
  <si>
    <t>7</t>
  </si>
  <si>
    <t>70</t>
  </si>
  <si>
    <t>706</t>
  </si>
  <si>
    <t>7 -</t>
  </si>
  <si>
    <t>706220</t>
  </si>
  <si>
    <t>REST.ELEVES H.FORF</t>
  </si>
  <si>
    <t>706220 - REST.ELEVES H.FORF</t>
  </si>
  <si>
    <t>706230</t>
  </si>
  <si>
    <t>REST.AUTRES TIERS</t>
  </si>
  <si>
    <t>706230 - REST.AUTRES TIERS</t>
  </si>
  <si>
    <t>706800</t>
  </si>
  <si>
    <t>AUT. PRESTATIONS</t>
  </si>
  <si>
    <t>706800 - AUT. PRESTATIONS</t>
  </si>
  <si>
    <t>708800</t>
  </si>
  <si>
    <t>AUT. PROD. ACT. ANN.</t>
  </si>
  <si>
    <t>708800 - AUT. PROD. ACT. ANN.</t>
  </si>
  <si>
    <t>708</t>
  </si>
  <si>
    <t>741130</t>
  </si>
  <si>
    <t>SUBV MEN- P141</t>
  </si>
  <si>
    <t>741130 - SUBV MEN- P141</t>
  </si>
  <si>
    <t>74</t>
  </si>
  <si>
    <t>741</t>
  </si>
  <si>
    <t>741150</t>
  </si>
  <si>
    <t>SUBV MEN - P230-AED</t>
  </si>
  <si>
    <t>741150 - SUBV MEN - P230-AED</t>
  </si>
  <si>
    <t>741160</t>
  </si>
  <si>
    <t>SUBV MEN-P230-AUTRE</t>
  </si>
  <si>
    <t>741160 - SUBV MEN-P230-AUTRE</t>
  </si>
  <si>
    <t>741800</t>
  </si>
  <si>
    <t>SUBV AUT. MINISTERES</t>
  </si>
  <si>
    <t>741800 - SUBV AUT. MINISTERES</t>
  </si>
  <si>
    <t>744310</t>
  </si>
  <si>
    <t>SUBV FCT-DEPT</t>
  </si>
  <si>
    <t>744310 - SUBV FCT-DEPT</t>
  </si>
  <si>
    <t>744</t>
  </si>
  <si>
    <t>744380</t>
  </si>
  <si>
    <t>AUTRE SUBV.DEPARTEME</t>
  </si>
  <si>
    <t>744380 - AUTRE SUBV.DEPARTEME</t>
  </si>
  <si>
    <t>744800</t>
  </si>
  <si>
    <t>744800 - AUTRES SUBVENTIONS</t>
  </si>
  <si>
    <t>746800</t>
  </si>
  <si>
    <t>AUTRES DONS ET LEGS</t>
  </si>
  <si>
    <t>746800 - AUTRES DONS ET LEGS</t>
  </si>
  <si>
    <t>746</t>
  </si>
  <si>
    <t>781320</t>
  </si>
  <si>
    <t>Q.P.RES.F.ACT.AUT.ET</t>
  </si>
  <si>
    <t>781320 - Q.P.RES.F.ACT.AUT.ET</t>
  </si>
  <si>
    <t>78</t>
  </si>
  <si>
    <t>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</si>
</sst>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" fontId="0" fillId="0" borderId="0" xfId="0" applyNumberFormat="1"/>
    <xf numFmtId="0" fontId="0" fillId="0" borderId="0" xfId="0" pivotButton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7" xfId="0" applyBorder="1"/>
    <xf numFmtId="0" fontId="0" fillId="0" borderId="2" xfId="0" applyBorder="1" applyAlignment="1">
      <alignment horizontal="left" indent="1"/>
    </xf>
    <xf numFmtId="0" fontId="0" fillId="0" borderId="4" xfId="0" applyBorder="1" applyAlignment="1">
      <alignment inden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10" xfId="0" applyNumberFormat="1" applyBorder="1" applyAlignment="1">
      <alignment horizontal="right" indent="1"/>
    </xf>
    <xf numFmtId="4" fontId="0" fillId="0" borderId="5" xfId="0" applyNumberFormat="1" applyBorder="1" applyAlignment="1">
      <alignment horizontal="right" indent="1"/>
    </xf>
    <xf numFmtId="4" fontId="0" fillId="0" borderId="6" xfId="0" applyNumberFormat="1" applyBorder="1" applyAlignment="1">
      <alignment horizontal="right" indent="1"/>
    </xf>
    <xf numFmtId="4" fontId="0" fillId="0" borderId="11" xfId="0" applyNumberFormat="1" applyBorder="1" applyAlignment="1">
      <alignment horizontal="right" indent="1"/>
    </xf>
    <xf numFmtId="4" fontId="0" fillId="0" borderId="0" xfId="0" applyNumberFormat="1" applyBorder="1" applyAlignment="1">
      <alignment horizontal="right" indent="1"/>
    </xf>
    <xf numFmtId="4" fontId="0" fillId="0" borderId="7" xfId="0" applyNumberFormat="1" applyBorder="1" applyAlignment="1">
      <alignment horizontal="right" indent="1"/>
    </xf>
    <xf numFmtId="4" fontId="0" fillId="0" borderId="12" xfId="0" applyNumberFormat="1" applyBorder="1" applyAlignment="1">
      <alignment horizontal="right" indent="1"/>
    </xf>
    <xf numFmtId="4" fontId="0" fillId="0" borderId="8" xfId="0" applyNumberFormat="1" applyBorder="1" applyAlignment="1">
      <alignment horizontal="right" indent="1"/>
    </xf>
    <xf numFmtId="4" fontId="0" fillId="0" borderId="9" xfId="0" applyNumberFormat="1" applyBorder="1" applyAlignment="1">
      <alignment horizontal="right" indent="1"/>
    </xf>
  </cellXfs>
  <cellStyles count="1">
    <cellStyle name="Normal" xfId="0" builtinId="0"/>
  </cellStyles>
  <dxfs count="29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indent="1" readingOrder="0"/>
    </dxf>
    <dxf>
      <alignment indent="1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indent="1" readingOrder="0"/>
    </dxf>
    <dxf>
      <alignment horizontal="right" indent="1" readingOrder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 tint="0.79995117038483843"/>
        </left>
        <right style="thin">
          <color theme="4" tint="0.79995117038483843"/>
        </right>
        <top style="thin">
          <color theme="4" tint="0.79998168889431442"/>
        </top>
        <bottom style="thin">
          <color theme="4" tint="0.79995117038483843"/>
        </bottom>
        <vertical style="thin">
          <color theme="4" tint="0.79995117038483843"/>
        </vertical>
        <horizontal/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  <border>
        <left/>
        <right/>
        <top/>
        <bottom/>
        <vertical/>
        <horizontal/>
      </border>
    </dxf>
    <dxf>
      <font>
        <b/>
        <color theme="0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medium">
          <color auto="1"/>
        </left>
        <right/>
        <top/>
        <bottom/>
        <vertical/>
        <horizontal/>
      </border>
    </dxf>
    <dxf>
      <font>
        <b/>
        <color theme="1"/>
      </font>
      <fill>
        <patternFill>
          <bgColor theme="0" tint="-0.1499679555650502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theme="1"/>
        </vertical>
        <horizontal/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Medium2 2">
    <tableStyle name="PivotStyleMedium2 2" table="0" count="15" xr9:uid="{00000000-0011-0000-FFFF-FFFF00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  <tableStyleElement type="firstHeaderCell" dxfId="21"/>
      <tableStyleElement type="firstSubtotalRow" dxfId="20"/>
      <tableStyleElement type="secondSubtotalRow" dxfId="19"/>
      <tableStyleElement type="firstColumnSubheading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gentComptable" refreshedDate="46111.501232870367" createdVersion="5" refreshedVersion="6" minRefreshableVersion="3" recordCount="115" xr:uid="{00000000-000A-0000-FFFF-FFFF0A000000}">
  <cacheSource type="worksheet">
    <worksheetSource ref="A3:AB1000001" sheet="Donnees"/>
  </cacheSource>
  <cacheFields count="32">
    <cacheField name="Compte" numFmtId="0">
      <sharedItems containsBlank="1"/>
    </cacheField>
    <cacheField name="Intitulé réduit du compte" numFmtId="0">
      <sharedItems containsBlank="1"/>
    </cacheField>
    <cacheField name="Compte et intitulé" numFmtId="0">
      <sharedItems containsBlank="1" count="117">
        <s v="106810 - RESERVES ETAB."/>
        <s v="129000 - RESULTAT EX.DEFICIT"/>
        <s v="134130 - V.I.FIN.RAT.ACT.DEP"/>
        <s v="134930 - REP.REST.FIN.R.A.DEP"/>
        <s v="212000 - AGT-AMT TERRAIN"/>
        <s v="213000 - CONSTRUCTIONS"/>
        <s v="215000 - INST. TECHN-MAT"/>
        <s v="218200 - MATERIEL TRANSPORT"/>
        <s v="218300 - MAT. BUR. &amp; INFORMAT"/>
        <s v="218400 - MOBILIER"/>
        <s v="281200 - AMORT.AGT.AMEGT.TERR"/>
        <s v="281300 - AMORT.CONSTR"/>
        <s v="281500 - AMORT.INSTALLATION"/>
        <s v="281820 - AMT.MAT.TRANSPORT"/>
        <s v="281830 - AMT.MAT.BUREAU&amp;INF."/>
        <s v="281840 - AMT.MOBILIER"/>
        <s v="401200 - FOURN - ACHATS B&amp;S"/>
        <s v="408100 - FOURNISSEURS - FNP"/>
        <s v="409800 - RRR A OBT. ET A.AVO."/>
        <s v="411200 - ELEVES-REST.HEBERG."/>
        <s v="411300 - REST.PRESTATION"/>
        <s v="412800 - AUTRES PRESTA."/>
        <s v="416000 - CLTS.DOUTEUX.LITIG"/>
        <s v="419100 - AVANCE RECUE REST."/>
        <s v="421000 - PERSO REMUN DUES"/>
        <s v="441110 - ETAT - SUBV FCT"/>
        <s v="441130 - ETAT - SUBV P141"/>
        <s v="441150 - ETAT-SUBV P230 AED"/>
        <s v="441160 - ETAT-SUBV P230 AUTRE"/>
        <s v="441180 - SUBV AUTRES MINIST."/>
        <s v="441220 - SUBV FCT"/>
        <s v="441250 - SUBV AIDES"/>
        <s v="441280 - AUTRES SUBV CTR"/>
        <s v="441480 - AUTRE SUBV ETAB PUB."/>
        <s v="441600 - FINANCEMENTS EUR."/>
        <s v="441800 - AUTRES SUBVENTIONS"/>
        <s v="441913 - ETAT-AV SUB P141"/>
        <s v="441916 - ETAT-AV SUB P230AUT."/>
        <s v="441918 - AV SUB AUTRE MINIST."/>
        <s v="441923 - CTR-AV SUBV. INVEST"/>
        <s v="441928 - AV AUTRE SUBV CTR"/>
        <s v="441960 - AV SUB FIN.EUR."/>
        <s v="441980 - AVANCES AUTRES SUB"/>
        <s v="443110 - OPE POUR ETAT-BOURSE"/>
        <s v="466210 - ELEVE-MAND. A PAYER"/>
        <s v="466300 - VIREMENT A REIMPUT."/>
        <s v="466400 - EXCED. VERST A REMB."/>
        <s v="466810 - BOURS.DEDUC.A PAYER"/>
        <s v="467600 - DONS ET LEGS"/>
        <s v="468600 - AUTRES TIERS - CAP"/>
        <s v="471800 - AUT.REC.A CLASSER"/>
        <s v="472100 - DAO"/>
        <s v="472200 - DEPENSES A EFFECTUER"/>
        <s v="511200 - CHEQ.  A ENCAISS."/>
        <s v="511500 - CB A ENCAISS."/>
        <s v="511700 - EFFETS IMPAYES"/>
        <s v="515100 - COMPTE TRESOR"/>
        <s v="515900 - TRESOR REGL.EN COURS"/>
        <s v="531000 - CAISSE"/>
        <s v="585000 - VIREMENT INTERNE"/>
        <s v="601100 - ACHATS DE DENREES"/>
        <s v="606110 - FOURN.NON ST.EAU"/>
        <s v="606130 - FOURN.NON ST.ELECTRI"/>
        <s v="606140 - FOURN.NO ST.CARB.LUB"/>
        <s v="606210 - MANUELS SCOLAIRES"/>
        <s v="606220 - OUVRAGES CDI"/>
        <s v="606230 - DOC. ADMIN."/>
        <s v="606300 - FOURN.PETIT.MAT.ENTR"/>
        <s v="606400 - FOURN.ADMINISTRATIVE"/>
        <s v="606500 - LINGE,VETEMENTS TRAV"/>
        <s v="606600 - INFIRM&amp;PROD. PHARMA"/>
        <s v="606700 - F.MAT.ENS. NON IMM."/>
        <s v="606800 - MAT.MOB.OUT.NON IMM."/>
        <s v="611100 - /S-TRAIT. REST. H."/>
        <s v="611200 - /S-TRAIT. DIV.ENTR."/>
        <s v="611800 - /S-TRAIT. AUTRES"/>
        <s v="612000 - REDEV. CREDIT-BAIL"/>
        <s v="613200 - AUTRES LOCATIONS"/>
        <s v="615000 - ENTR. REPAR. EL.ACT."/>
        <s v="616000 - PRIMES D’ASSURANCE"/>
        <s v="618120 - OUVR. NUMERIQ. CDI"/>
        <s v="618130 - OUVR. NUMERIQ. ADM."/>
        <s v="621000 - PERS. EXT. A L’ETAB."/>
        <s v="622000 - REMUN.INTERM.HONOR."/>
        <s v="624000 - TRANSP.B&amp;P. H.VOY.S."/>
        <s v="625111 - VOY.DEPL.EL. VOYAGES"/>
        <s v="625112 - VOY.DEPL.EL. SORTIES"/>
        <s v="625700 - FRAIS RECEP.(P.EXT.)"/>
        <s v="626000 - FRAIS POST.TELECOM."/>
        <s v="627000 - SERVICES BANCAIRES"/>
        <s v="628600 - CONCOURS DIVERS"/>
        <s v="628700 - FACTUR. SERV.MUT."/>
        <s v="628800 - AUTRES CH. EXT. DIV."/>
        <s v="644700 - REMUN. ASSIST. EDUC."/>
        <s v="651100 - REDEV.CONCESS.BREV."/>
        <s v="651600 - DROITS AUTEUR REPRO."/>
        <s v="653200 - TRANFERT C.T.R."/>
        <s v="657610 - AIDE SOCIALE EL.ETAT"/>
        <s v="658800 - AUTRES CH.DIVERSES"/>
        <s v="681100 - DOT.IMMO.CORP.INCOR."/>
        <s v="706210 - REST.ELEVES FORFAIT"/>
        <s v="706220 - REST.ELEVES H.FORF"/>
        <s v="706230 - REST.AUTRES TIERS"/>
        <s v="706800 - AUT. PRESTATIONS"/>
        <s v="708800 - AUT. PROD. ACT. ANN."/>
        <s v="741130 - SUBV MEN- P141"/>
        <s v="741150 - SUBV MEN - P230-AED"/>
        <s v="741160 - SUBV MEN-P230-AUTRE"/>
        <s v="741800 - SUBV AUT. MINISTERES"/>
        <s v="744310 - SUBV FCT-DEPT"/>
        <s v="744380 - AUTRE SUBV.DEPARTEME"/>
        <s v="744800 - AUTRES SUBVENTIONS"/>
        <s v="746800 - AUTRES DONS ET LEGS"/>
        <s v="781320 - Q.P.RES.F.ACT.AUT.ET"/>
        <m/>
        <s v="a" u="1"/>
        <s v="xxxxxx" u="1"/>
      </sharedItems>
    </cacheField>
    <cacheField name="Type" numFmtId="0">
      <sharedItems containsNonDate="0" containsString="0" containsBlank="1"/>
    </cacheField>
    <cacheField name="Montant débit antérieur" numFmtId="2">
      <sharedItems containsString="0" containsBlank="1" containsNumber="1" minValue="0" maxValue="442495.06"/>
    </cacheField>
    <cacheField name="Montant crédit antérieur" numFmtId="2">
      <sharedItems containsString="0" containsBlank="1" containsNumber="1" minValue="0" maxValue="408210.72"/>
    </cacheField>
    <cacheField name="Montant débit" numFmtId="2">
      <sharedItems containsString="0" containsBlank="1" containsNumber="1" minValue="0" maxValue="1099117.74"/>
    </cacheField>
    <cacheField name="Montant crédit" numFmtId="2">
      <sharedItems containsString="0" containsBlank="1" containsNumber="1" minValue="0" maxValue="980328.04"/>
    </cacheField>
    <cacheField name="Solde débit" numFmtId="2">
      <sharedItems containsString="0" containsBlank="1" containsNumber="1" minValue="0" maxValue="561284.76"/>
    </cacheField>
    <cacheField name="Solde crédit" numFmtId="2">
      <sharedItems containsString="0" containsBlank="1" containsNumber="1" minValue="0" maxValue="353467.61"/>
    </cacheField>
    <cacheField name="Poste" numFmtId="0">
      <sharedItems containsBlank="1"/>
    </cacheField>
    <cacheField name="Intitulé réduit du poste" numFmtId="0">
      <sharedItems containsBlank="1"/>
    </cacheField>
    <cacheField name="Classe de compte" numFmtId="0">
      <sharedItems containsBlank="1"/>
    </cacheField>
    <cacheField name="Sous-classe de compte" numFmtId="0">
      <sharedItems containsBlank="1"/>
    </cacheField>
    <cacheField name="Sous-sous-classe de compte" numFmtId="0">
      <sharedItems containsBlank="1"/>
    </cacheField>
    <cacheField name="Etablissement" numFmtId="0">
      <sharedItems containsBlank="1"/>
    </cacheField>
    <cacheField name="Rupture 1" numFmtId="0">
      <sharedItems containsBlank="1"/>
    </cacheField>
    <cacheField name="Libellé rupture 1" numFmtId="0">
      <sharedItems containsNonDate="0" containsString="0" containsBlank="1"/>
    </cacheField>
    <cacheField name="Rupture et libellé 1" numFmtId="0">
      <sharedItems containsBlank="1" count="9">
        <s v="1 -"/>
        <s v="2 -"/>
        <s v="4 -"/>
        <s v="5 -"/>
        <s v="6 -"/>
        <s v="7 -"/>
        <m/>
        <s v="a" u="1"/>
        <s v="xxxxxx" u="1"/>
      </sharedItems>
    </cacheField>
    <cacheField name="Rupture 2" numFmtId="0">
      <sharedItems containsNonDate="0" containsString="0" containsBlank="1"/>
    </cacheField>
    <cacheField name="Libellé rupture 2" numFmtId="0">
      <sharedItems containsNonDate="0" containsString="0" containsBlank="1"/>
    </cacheField>
    <cacheField name="Rupture et libellé 2" numFmtId="0">
      <sharedItems containsBlank="1" count="4">
        <s v="-"/>
        <m/>
        <s v="a" u="1"/>
        <s v="xxxxxx" u="1"/>
      </sharedItems>
    </cacheField>
    <cacheField name="Rupture 3" numFmtId="0">
      <sharedItems containsNonDate="0" containsString="0" containsBlank="1"/>
    </cacheField>
    <cacheField name="Libellé rupture 3" numFmtId="0">
      <sharedItems containsNonDate="0" containsString="0" containsBlank="1"/>
    </cacheField>
    <cacheField name="Rupture et libellé 3" numFmtId="0">
      <sharedItems containsBlank="1"/>
    </cacheField>
    <cacheField name="Rupture 4" numFmtId="0">
      <sharedItems containsNonDate="0" containsString="0" containsBlank="1"/>
    </cacheField>
    <cacheField name="Libellé rupture 4" numFmtId="0">
      <sharedItems containsNonDate="0" containsString="0" containsBlank="1"/>
    </cacheField>
    <cacheField name="Rupture et libellé 4" numFmtId="0">
      <sharedItems containsBlank="1"/>
    </cacheField>
    <cacheField name="Affichage Montant débit antérieur" numFmtId="0" formula=" IF('Montant débit antérieur'-'Montant crédit antérieur'&lt;0,0,'Montant débit antérieur'-'Montant crédit antérieur')" databaseField="0"/>
    <cacheField name="Affichage Montant crédit antérieur" numFmtId="0" formula="IF('Montant crédit antérieur'-'Montant débit antérieur'&lt;0,0,'Montant crédit antérieur'-'Montant débit antérieur')" databaseField="0"/>
    <cacheField name="Affichage Solde débit" numFmtId="0" formula=" IF('Solde débit'-'Solde crédit'&lt;0,0,'Solde débit'-'Solde crédit')" databaseField="0"/>
    <cacheField name="Affichage Solde crédit" numFmtId="0" formula="IF('Solde crédit'-'Solde débit'&lt;0,0,'Solde crédit'-'Solde débit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s v="106810"/>
    <s v="RESERVES ETAB."/>
    <x v="0"/>
    <m/>
    <n v="0"/>
    <n v="260320.91"/>
    <n v="72.02"/>
    <n v="0"/>
    <n v="0"/>
    <n v="260248.89"/>
    <s v="0"/>
    <s v="SANS POSTE"/>
    <s v="1"/>
    <s v="10"/>
    <s v="106"/>
    <s v="P03427"/>
    <s v="1"/>
    <m/>
    <x v="0"/>
    <m/>
    <m/>
    <x v="0"/>
    <m/>
    <m/>
    <s v="-"/>
    <m/>
    <m/>
    <s v="-"/>
  </r>
  <r>
    <s v="129000"/>
    <s v="RESULTAT EX.DEFICIT"/>
    <x v="1"/>
    <m/>
    <n v="72.02"/>
    <n v="0"/>
    <n v="0"/>
    <n v="72.02"/>
    <n v="0"/>
    <n v="0"/>
    <s v="0"/>
    <s v="SANS POSTE"/>
    <s v="1"/>
    <s v="12"/>
    <s v="129"/>
    <s v="P03427"/>
    <s v="1"/>
    <m/>
    <x v="0"/>
    <m/>
    <m/>
    <x v="0"/>
    <m/>
    <m/>
    <s v="-"/>
    <m/>
    <m/>
    <s v="-"/>
  </r>
  <r>
    <s v="134130"/>
    <s v="V.I.FIN.RAT.ACT.DEP"/>
    <x v="2"/>
    <m/>
    <n v="0"/>
    <n v="26834.37"/>
    <n v="0"/>
    <n v="0"/>
    <n v="0"/>
    <n v="26834.37"/>
    <s v="134130"/>
    <s v="V.I.FIN.RAT.ACT.DEP"/>
    <s v="1"/>
    <s v="13"/>
    <s v="134"/>
    <s v="P03427"/>
    <s v="1"/>
    <m/>
    <x v="0"/>
    <m/>
    <m/>
    <x v="0"/>
    <m/>
    <m/>
    <s v="-"/>
    <m/>
    <m/>
    <s v="-"/>
  </r>
  <r>
    <s v="134930"/>
    <s v="REP.REST.FIN.R.A.DEP"/>
    <x v="3"/>
    <m/>
    <n v="21152.9"/>
    <n v="0"/>
    <n v="5358.83"/>
    <n v="0"/>
    <n v="26511.73"/>
    <n v="0"/>
    <s v="0"/>
    <s v="SANS POSTE"/>
    <s v="1"/>
    <s v="13"/>
    <s v="134"/>
    <s v="P03427"/>
    <s v="1"/>
    <m/>
    <x v="0"/>
    <m/>
    <m/>
    <x v="0"/>
    <m/>
    <m/>
    <s v="-"/>
    <m/>
    <m/>
    <s v="-"/>
  </r>
  <r>
    <s v="212000"/>
    <s v="AGT-AMT TERRAIN"/>
    <x v="4"/>
    <m/>
    <n v="4002.32"/>
    <n v="0"/>
    <n v="0"/>
    <n v="0"/>
    <n v="4002.32"/>
    <n v="0"/>
    <s v="212000"/>
    <s v="AGT-AMT TERRAIN"/>
    <s v="2"/>
    <s v="21"/>
    <s v="212"/>
    <s v="P03427"/>
    <s v="2"/>
    <m/>
    <x v="1"/>
    <m/>
    <m/>
    <x v="0"/>
    <m/>
    <m/>
    <s v="-"/>
    <m/>
    <m/>
    <s v="-"/>
  </r>
  <r>
    <s v="213000"/>
    <s v="CONSTRUCTIONS"/>
    <x v="5"/>
    <m/>
    <n v="18582.22"/>
    <n v="0"/>
    <n v="0"/>
    <n v="0"/>
    <n v="18582.22"/>
    <n v="0"/>
    <s v="213000"/>
    <s v="CONSTRUCTIONS"/>
    <s v="2"/>
    <s v="21"/>
    <s v="213"/>
    <s v="P03427"/>
    <s v="2"/>
    <m/>
    <x v="1"/>
    <m/>
    <m/>
    <x v="0"/>
    <m/>
    <m/>
    <s v="-"/>
    <m/>
    <m/>
    <s v="-"/>
  </r>
  <r>
    <s v="215000"/>
    <s v="INST. TECHN-MAT"/>
    <x v="6"/>
    <m/>
    <n v="16669.41"/>
    <n v="0"/>
    <n v="0"/>
    <n v="0"/>
    <n v="16669.41"/>
    <n v="0"/>
    <s v="215000"/>
    <s v="INST. TECHN-MAT"/>
    <s v="2"/>
    <s v="21"/>
    <s v="215"/>
    <s v="P03427"/>
    <s v="2"/>
    <m/>
    <x v="1"/>
    <m/>
    <m/>
    <x v="0"/>
    <m/>
    <m/>
    <s v="-"/>
    <m/>
    <m/>
    <s v="-"/>
  </r>
  <r>
    <s v="218200"/>
    <s v="MATERIEL TRANSPORT"/>
    <x v="7"/>
    <m/>
    <n v="12666.96"/>
    <n v="0"/>
    <n v="0"/>
    <n v="0"/>
    <n v="12666.96"/>
    <n v="0"/>
    <s v="218200"/>
    <s v="MATERIEL TRANSPORT"/>
    <s v="2"/>
    <s v="21"/>
    <s v="218"/>
    <s v="P03427"/>
    <s v="2"/>
    <m/>
    <x v="1"/>
    <m/>
    <m/>
    <x v="0"/>
    <m/>
    <m/>
    <s v="-"/>
    <m/>
    <m/>
    <s v="-"/>
  </r>
  <r>
    <s v="218300"/>
    <s v="MAT. BUR. &amp; INFORMAT"/>
    <x v="8"/>
    <m/>
    <n v="3734.59"/>
    <n v="0"/>
    <n v="0"/>
    <n v="0"/>
    <n v="3734.59"/>
    <n v="0"/>
    <s v="218300"/>
    <s v="MAT. BUR. &amp; INFORMAT"/>
    <s v="2"/>
    <s v="21"/>
    <s v="218"/>
    <s v="P03427"/>
    <s v="2"/>
    <m/>
    <x v="1"/>
    <m/>
    <m/>
    <x v="0"/>
    <m/>
    <m/>
    <s v="-"/>
    <m/>
    <m/>
    <s v="-"/>
  </r>
  <r>
    <s v="218400"/>
    <s v="MOBILIER"/>
    <x v="9"/>
    <m/>
    <n v="1332"/>
    <n v="0"/>
    <n v="0"/>
    <n v="0"/>
    <n v="1332"/>
    <n v="0"/>
    <s v="218400"/>
    <s v="MOBILIER"/>
    <s v="2"/>
    <s v="21"/>
    <s v="218"/>
    <s v="P03427"/>
    <s v="2"/>
    <m/>
    <x v="1"/>
    <m/>
    <m/>
    <x v="0"/>
    <m/>
    <m/>
    <s v="-"/>
    <m/>
    <m/>
    <s v="-"/>
  </r>
  <r>
    <s v="281200"/>
    <s v="AMORT.AGT.AMEGT.TERR"/>
    <x v="10"/>
    <m/>
    <n v="0"/>
    <n v="3201.85"/>
    <n v="0"/>
    <n v="800.47"/>
    <n v="0"/>
    <n v="4002.32"/>
    <s v="0"/>
    <s v="SANS POSTE"/>
    <s v="2"/>
    <s v="28"/>
    <s v="281"/>
    <s v="P03427"/>
    <s v="2"/>
    <m/>
    <x v="1"/>
    <m/>
    <m/>
    <x v="0"/>
    <m/>
    <m/>
    <s v="-"/>
    <m/>
    <m/>
    <s v="-"/>
  </r>
  <r>
    <s v="281300"/>
    <s v="AMORT.CONSTR"/>
    <x v="11"/>
    <m/>
    <n v="0"/>
    <n v="14865.77"/>
    <n v="0"/>
    <n v="3716.45"/>
    <n v="0"/>
    <n v="18582.22"/>
    <s v="0"/>
    <s v="SANS POSTE"/>
    <s v="2"/>
    <s v="28"/>
    <s v="281"/>
    <s v="P03427"/>
    <s v="2"/>
    <m/>
    <x v="1"/>
    <m/>
    <m/>
    <x v="0"/>
    <m/>
    <m/>
    <s v="-"/>
    <m/>
    <m/>
    <s v="-"/>
  </r>
  <r>
    <s v="281500"/>
    <s v="AMORT.INSTALLATION"/>
    <x v="12"/>
    <m/>
    <n v="0"/>
    <n v="10637.04"/>
    <n v="0"/>
    <n v="1838.47"/>
    <n v="0"/>
    <n v="12475.51"/>
    <s v="0"/>
    <s v="SANS POSTE"/>
    <s v="2"/>
    <s v="28"/>
    <s v="281"/>
    <s v="P03427"/>
    <s v="2"/>
    <m/>
    <x v="1"/>
    <m/>
    <m/>
    <x v="0"/>
    <m/>
    <m/>
    <s v="-"/>
    <m/>
    <m/>
    <s v="-"/>
  </r>
  <r>
    <s v="281820"/>
    <s v="AMT.MAT.TRANSPORT"/>
    <x v="13"/>
    <m/>
    <n v="0"/>
    <n v="12666.96"/>
    <n v="0"/>
    <n v="0"/>
    <n v="0"/>
    <n v="12666.96"/>
    <s v="0"/>
    <s v="SANS POSTE"/>
    <s v="2"/>
    <s v="28"/>
    <s v="281"/>
    <s v="P03427"/>
    <s v="2"/>
    <m/>
    <x v="1"/>
    <m/>
    <m/>
    <x v="0"/>
    <m/>
    <m/>
    <s v="-"/>
    <m/>
    <m/>
    <s v="-"/>
  </r>
  <r>
    <s v="281830"/>
    <s v="AMT.MAT.BUREAU&amp;INF."/>
    <x v="14"/>
    <m/>
    <n v="0"/>
    <n v="2609.52"/>
    <n v="0"/>
    <n v="738.86"/>
    <n v="0"/>
    <n v="3348.38"/>
    <s v="0"/>
    <s v="SANS POSTE"/>
    <s v="2"/>
    <s v="28"/>
    <s v="281"/>
    <s v="P03427"/>
    <s v="2"/>
    <m/>
    <x v="1"/>
    <m/>
    <m/>
    <x v="0"/>
    <m/>
    <m/>
    <s v="-"/>
    <m/>
    <m/>
    <s v="-"/>
  </r>
  <r>
    <s v="281840"/>
    <s v="AMT.MOBILIER"/>
    <x v="15"/>
    <m/>
    <n v="0"/>
    <n v="1332"/>
    <n v="0"/>
    <n v="0"/>
    <n v="0"/>
    <n v="1332"/>
    <s v="0"/>
    <s v="SANS POSTE"/>
    <s v="2"/>
    <s v="28"/>
    <s v="281"/>
    <s v="P03427"/>
    <s v="2"/>
    <m/>
    <x v="1"/>
    <m/>
    <m/>
    <x v="0"/>
    <m/>
    <m/>
    <s v="-"/>
    <m/>
    <m/>
    <s v="-"/>
  </r>
  <r>
    <s v="401200"/>
    <s v="FOURN - ACHATS B&amp;S"/>
    <x v="16"/>
    <m/>
    <n v="0"/>
    <n v="53947.5"/>
    <n v="394606.96"/>
    <n v="426523.87"/>
    <n v="0"/>
    <n v="85864.41"/>
    <s v="0"/>
    <s v="SANS POSTE"/>
    <s v="4"/>
    <s v="40"/>
    <s v="401"/>
    <s v="P03427"/>
    <s v="4"/>
    <m/>
    <x v="2"/>
    <m/>
    <m/>
    <x v="0"/>
    <m/>
    <m/>
    <s v="-"/>
    <m/>
    <m/>
    <s v="-"/>
  </r>
  <r>
    <s v="408100"/>
    <s v="FOURNISSEURS - FNP"/>
    <x v="17"/>
    <m/>
    <n v="0"/>
    <n v="0"/>
    <n v="0"/>
    <n v="19329.61"/>
    <n v="0"/>
    <n v="19329.61"/>
    <s v="0"/>
    <s v="SANS POSTE"/>
    <s v="4"/>
    <s v="40"/>
    <s v="408"/>
    <s v="P03427"/>
    <s v="4"/>
    <m/>
    <x v="2"/>
    <m/>
    <m/>
    <x v="0"/>
    <m/>
    <m/>
    <s v="-"/>
    <m/>
    <m/>
    <s v="-"/>
  </r>
  <r>
    <s v="409800"/>
    <s v="RRR A OBT. ET A.AVO."/>
    <x v="18"/>
    <m/>
    <n v="1506.08"/>
    <n v="0"/>
    <n v="1009.9"/>
    <n v="0"/>
    <n v="2515.98"/>
    <n v="0"/>
    <s v="0"/>
    <s v="SANS POSTE"/>
    <s v="4"/>
    <s v="40"/>
    <s v="409"/>
    <s v="P03427"/>
    <s v="4"/>
    <m/>
    <x v="2"/>
    <m/>
    <m/>
    <x v="0"/>
    <m/>
    <m/>
    <s v="-"/>
    <m/>
    <m/>
    <s v="-"/>
  </r>
  <r>
    <s v="411200"/>
    <s v="ELEVES-REST.HEBERG."/>
    <x v="19"/>
    <m/>
    <n v="15979.67"/>
    <n v="0"/>
    <n v="290309.07"/>
    <n v="272303.49"/>
    <n v="33985.25"/>
    <n v="0"/>
    <s v="0"/>
    <s v="SANS POSTE"/>
    <s v="4"/>
    <s v="41"/>
    <s v="411"/>
    <s v="P03427"/>
    <s v="4"/>
    <m/>
    <x v="2"/>
    <m/>
    <m/>
    <x v="0"/>
    <m/>
    <m/>
    <s v="-"/>
    <m/>
    <m/>
    <s v="-"/>
  </r>
  <r>
    <s v="411300"/>
    <s v="REST.PRESTATION"/>
    <x v="20"/>
    <m/>
    <n v="0"/>
    <n v="4.3"/>
    <n v="1839.75"/>
    <n v="1839.75"/>
    <n v="0"/>
    <n v="4.3"/>
    <s v="0"/>
    <s v="SANS POSTE"/>
    <s v="4"/>
    <s v="41"/>
    <s v="411"/>
    <s v="P03427"/>
    <s v="4"/>
    <m/>
    <x v="2"/>
    <m/>
    <m/>
    <x v="0"/>
    <m/>
    <m/>
    <s v="-"/>
    <m/>
    <m/>
    <s v="-"/>
  </r>
  <r>
    <s v="412800"/>
    <s v="AUTRES PRESTA."/>
    <x v="21"/>
    <m/>
    <n v="8479.19"/>
    <n v="0"/>
    <n v="3400"/>
    <n v="4726"/>
    <n v="7153.19"/>
    <n v="0"/>
    <s v="0"/>
    <s v="SANS POSTE"/>
    <s v="4"/>
    <s v="41"/>
    <s v="412"/>
    <s v="P03427"/>
    <s v="4"/>
    <m/>
    <x v="2"/>
    <m/>
    <m/>
    <x v="0"/>
    <m/>
    <m/>
    <s v="-"/>
    <m/>
    <m/>
    <s v="-"/>
  </r>
  <r>
    <s v="416000"/>
    <s v="CLTS.DOUTEUX.LITIG"/>
    <x v="22"/>
    <m/>
    <n v="847.5"/>
    <n v="0"/>
    <n v="1221.3"/>
    <n v="1233.6600000000001"/>
    <n v="835.14"/>
    <n v="0"/>
    <s v="0"/>
    <s v="SANS POSTE"/>
    <s v="4"/>
    <s v="41"/>
    <s v="416"/>
    <s v="P03427"/>
    <s v="4"/>
    <m/>
    <x v="2"/>
    <m/>
    <m/>
    <x v="0"/>
    <m/>
    <m/>
    <s v="-"/>
    <m/>
    <m/>
    <s v="-"/>
  </r>
  <r>
    <s v="419100"/>
    <s v="AVANCE RECUE REST."/>
    <x v="23"/>
    <m/>
    <n v="0"/>
    <n v="44.9"/>
    <n v="72.8"/>
    <n v="66.400000000000006"/>
    <n v="0"/>
    <n v="38.5"/>
    <s v="0"/>
    <s v="SANS POSTE"/>
    <s v="4"/>
    <s v="41"/>
    <s v="419"/>
    <s v="P03427"/>
    <s v="4"/>
    <m/>
    <x v="2"/>
    <m/>
    <m/>
    <x v="0"/>
    <m/>
    <m/>
    <s v="-"/>
    <m/>
    <m/>
    <s v="-"/>
  </r>
  <r>
    <s v="421000"/>
    <s v="PERSO REMUN DUES"/>
    <x v="24"/>
    <m/>
    <n v="0"/>
    <n v="408210.72"/>
    <n v="408210.72"/>
    <n v="0"/>
    <n v="0"/>
    <n v="0"/>
    <s v="0"/>
    <s v="SANS POSTE"/>
    <s v="4"/>
    <s v="42"/>
    <s v="421"/>
    <s v="P03427"/>
    <s v="4"/>
    <m/>
    <x v="2"/>
    <m/>
    <m/>
    <x v="0"/>
    <m/>
    <m/>
    <s v="-"/>
    <m/>
    <m/>
    <s v="-"/>
  </r>
  <r>
    <s v="441110"/>
    <s v="ETAT - SUBV FCT"/>
    <x v="25"/>
    <m/>
    <n v="0"/>
    <n v="0"/>
    <n v="138328.6"/>
    <n v="141918.6"/>
    <n v="0"/>
    <n v="3590"/>
    <s v="0"/>
    <s v="SANS POSTE"/>
    <s v="4"/>
    <s v="44"/>
    <s v="441"/>
    <s v="P03427"/>
    <s v="4"/>
    <m/>
    <x v="2"/>
    <m/>
    <m/>
    <x v="0"/>
    <m/>
    <m/>
    <s v="-"/>
    <m/>
    <m/>
    <s v="-"/>
  </r>
  <r>
    <s v="441130"/>
    <s v="ETAT - SUBV P141"/>
    <x v="26"/>
    <m/>
    <n v="17678.61"/>
    <n v="0"/>
    <n v="20088.63"/>
    <n v="35152.1"/>
    <n v="2615.14"/>
    <n v="0"/>
    <s v="0"/>
    <s v="SANS POSTE"/>
    <s v="4"/>
    <s v="44"/>
    <s v="441"/>
    <s v="P03427"/>
    <s v="4"/>
    <m/>
    <x v="2"/>
    <m/>
    <m/>
    <x v="0"/>
    <m/>
    <m/>
    <s v="-"/>
    <m/>
    <m/>
    <s v="-"/>
  </r>
  <r>
    <s v="441150"/>
    <s v="ETAT-SUBV P230 AED"/>
    <x v="27"/>
    <m/>
    <n v="408210.72"/>
    <n v="0"/>
    <n v="353467.61"/>
    <n v="761678.33"/>
    <n v="0"/>
    <n v="0"/>
    <s v="0"/>
    <s v="SANS POSTE"/>
    <s v="4"/>
    <s v="44"/>
    <s v="441"/>
    <s v="P03427"/>
    <s v="4"/>
    <m/>
    <x v="2"/>
    <m/>
    <m/>
    <x v="0"/>
    <m/>
    <m/>
    <s v="-"/>
    <m/>
    <m/>
    <s v="-"/>
  </r>
  <r>
    <s v="441160"/>
    <s v="ETAT-SUBV P230 AUTRE"/>
    <x v="28"/>
    <m/>
    <n v="0"/>
    <n v="14248.39"/>
    <n v="17774.78"/>
    <n v="5910.31"/>
    <n v="0"/>
    <n v="2383.92"/>
    <s v="0"/>
    <s v="SANS POSTE"/>
    <s v="4"/>
    <s v="44"/>
    <s v="441"/>
    <s v="P03427"/>
    <s v="4"/>
    <m/>
    <x v="2"/>
    <m/>
    <m/>
    <x v="0"/>
    <m/>
    <m/>
    <s v="-"/>
    <m/>
    <m/>
    <s v="-"/>
  </r>
  <r>
    <s v="441180"/>
    <s v="SUBV AUTRES MINIST."/>
    <x v="29"/>
    <m/>
    <n v="2310"/>
    <n v="0"/>
    <n v="3590.7"/>
    <n v="0"/>
    <n v="5900.7"/>
    <n v="0"/>
    <s v="0"/>
    <s v="SANS POSTE"/>
    <s v="4"/>
    <s v="44"/>
    <s v="441"/>
    <s v="P03427"/>
    <s v="4"/>
    <m/>
    <x v="2"/>
    <m/>
    <m/>
    <x v="0"/>
    <m/>
    <m/>
    <s v="-"/>
    <m/>
    <m/>
    <s v="-"/>
  </r>
  <r>
    <s v="441220"/>
    <s v="SUBV FCT"/>
    <x v="30"/>
    <m/>
    <n v="0"/>
    <n v="3776"/>
    <n v="401716"/>
    <n v="401716.2"/>
    <n v="0"/>
    <n v="3776.2"/>
    <s v="0"/>
    <s v="SANS POSTE"/>
    <s v="4"/>
    <s v="44"/>
    <s v="441"/>
    <s v="P03427"/>
    <s v="4"/>
    <m/>
    <x v="2"/>
    <m/>
    <m/>
    <x v="0"/>
    <m/>
    <m/>
    <s v="-"/>
    <m/>
    <m/>
    <s v="-"/>
  </r>
  <r>
    <s v="441250"/>
    <s v="SUBV AIDES"/>
    <x v="31"/>
    <m/>
    <n v="0"/>
    <n v="3500"/>
    <n v="0"/>
    <n v="0"/>
    <n v="0"/>
    <n v="3500"/>
    <s v="0"/>
    <s v="SANS POSTE"/>
    <s v="4"/>
    <s v="44"/>
    <s v="441"/>
    <s v="P03427"/>
    <s v="4"/>
    <m/>
    <x v="2"/>
    <m/>
    <m/>
    <x v="0"/>
    <m/>
    <m/>
    <s v="-"/>
    <m/>
    <m/>
    <s v="-"/>
  </r>
  <r>
    <s v="441280"/>
    <s v="AUTRES SUBV CTR"/>
    <x v="32"/>
    <m/>
    <n v="14001.09"/>
    <n v="0"/>
    <n v="52710.23"/>
    <n v="45974"/>
    <n v="20737.32"/>
    <n v="0"/>
    <s v="0"/>
    <s v="SANS POSTE"/>
    <s v="4"/>
    <s v="44"/>
    <s v="441"/>
    <s v="P03427"/>
    <s v="4"/>
    <m/>
    <x v="2"/>
    <m/>
    <m/>
    <x v="0"/>
    <m/>
    <m/>
    <s v="-"/>
    <m/>
    <m/>
    <s v="-"/>
  </r>
  <r>
    <s v="441480"/>
    <s v="AUTRE SUBV ETAB PUB."/>
    <x v="33"/>
    <m/>
    <n v="0"/>
    <n v="0"/>
    <n v="25797.200000000001"/>
    <n v="64486.400000000001"/>
    <n v="0"/>
    <n v="38689.199999999997"/>
    <s v="0"/>
    <s v="SANS POSTE"/>
    <s v="4"/>
    <s v="44"/>
    <s v="441"/>
    <s v="P03427"/>
    <s v="4"/>
    <m/>
    <x v="2"/>
    <m/>
    <m/>
    <x v="0"/>
    <m/>
    <m/>
    <s v="-"/>
    <m/>
    <m/>
    <s v="-"/>
  </r>
  <r>
    <s v="441600"/>
    <s v="FINANCEMENTS EUR."/>
    <x v="34"/>
    <m/>
    <n v="0"/>
    <n v="0"/>
    <n v="0"/>
    <n v="72844.94"/>
    <n v="0"/>
    <n v="72844.94"/>
    <s v="0"/>
    <s v="SANS POSTE"/>
    <s v="4"/>
    <s v="44"/>
    <s v="441"/>
    <s v="P03427"/>
    <s v="4"/>
    <m/>
    <x v="2"/>
    <m/>
    <m/>
    <x v="0"/>
    <m/>
    <m/>
    <s v="-"/>
    <m/>
    <m/>
    <s v="-"/>
  </r>
  <r>
    <s v="441800"/>
    <s v="AUTRES SUBVENTIONS"/>
    <x v="35"/>
    <m/>
    <n v="46845.16"/>
    <n v="0"/>
    <n v="64264.5"/>
    <n v="60773.4"/>
    <n v="50336.26"/>
    <n v="0"/>
    <s v="0"/>
    <s v="SANS POSTE"/>
    <s v="4"/>
    <s v="44"/>
    <s v="441"/>
    <s v="P03427"/>
    <s v="4"/>
    <m/>
    <x v="2"/>
    <m/>
    <m/>
    <x v="0"/>
    <m/>
    <m/>
    <s v="-"/>
    <m/>
    <m/>
    <s v="-"/>
  </r>
  <r>
    <s v="441913"/>
    <s v="ETAT-AV SUB P141"/>
    <x v="36"/>
    <m/>
    <n v="0"/>
    <n v="15385.35"/>
    <n v="0"/>
    <n v="0"/>
    <n v="0"/>
    <n v="15385.35"/>
    <s v="0"/>
    <s v="SANS POSTE"/>
    <s v="4"/>
    <s v="44"/>
    <s v="441"/>
    <s v="P03427"/>
    <s v="4"/>
    <m/>
    <x v="2"/>
    <m/>
    <m/>
    <x v="0"/>
    <m/>
    <m/>
    <s v="-"/>
    <m/>
    <m/>
    <s v="-"/>
  </r>
  <r>
    <s v="441916"/>
    <s v="ETAT-AV SUB P230AUT."/>
    <x v="37"/>
    <m/>
    <n v="0"/>
    <n v="16502.86"/>
    <n v="0"/>
    <n v="0"/>
    <n v="0"/>
    <n v="16502.86"/>
    <s v="0"/>
    <s v="SANS POSTE"/>
    <s v="4"/>
    <s v="44"/>
    <s v="441"/>
    <s v="P03427"/>
    <s v="4"/>
    <m/>
    <x v="2"/>
    <m/>
    <m/>
    <x v="0"/>
    <m/>
    <m/>
    <s v="-"/>
    <m/>
    <m/>
    <s v="-"/>
  </r>
  <r>
    <s v="441918"/>
    <s v="AV SUB AUTRE MINIST."/>
    <x v="38"/>
    <m/>
    <n v="0"/>
    <n v="32116.01"/>
    <n v="0"/>
    <n v="0"/>
    <n v="0"/>
    <n v="32116.01"/>
    <s v="0"/>
    <s v="SANS POSTE"/>
    <s v="4"/>
    <s v="44"/>
    <s v="441"/>
    <s v="P03427"/>
    <s v="4"/>
    <m/>
    <x v="2"/>
    <m/>
    <m/>
    <x v="0"/>
    <m/>
    <m/>
    <s v="-"/>
    <m/>
    <m/>
    <s v="-"/>
  </r>
  <r>
    <s v="441923"/>
    <s v="CTR-AV SUBV. INVEST"/>
    <x v="39"/>
    <m/>
    <n v="0"/>
    <n v="9532.27"/>
    <n v="0"/>
    <n v="0"/>
    <n v="0"/>
    <n v="9532.27"/>
    <s v="0"/>
    <s v="SANS POSTE"/>
    <s v="4"/>
    <s v="44"/>
    <s v="441"/>
    <s v="P03427"/>
    <s v="4"/>
    <m/>
    <x v="2"/>
    <m/>
    <m/>
    <x v="0"/>
    <m/>
    <m/>
    <s v="-"/>
    <m/>
    <m/>
    <s v="-"/>
  </r>
  <r>
    <s v="441928"/>
    <s v="AV AUTRE SUBV CTR"/>
    <x v="40"/>
    <m/>
    <n v="0"/>
    <n v="17946.89"/>
    <n v="0"/>
    <n v="0"/>
    <n v="0"/>
    <n v="17946.89"/>
    <s v="0"/>
    <s v="SANS POSTE"/>
    <s v="4"/>
    <s v="44"/>
    <s v="441"/>
    <s v="P03427"/>
    <s v="4"/>
    <m/>
    <x v="2"/>
    <m/>
    <m/>
    <x v="0"/>
    <m/>
    <m/>
    <s v="-"/>
    <m/>
    <m/>
    <s v="-"/>
  </r>
  <r>
    <s v="441960"/>
    <s v="AV SUB FIN.EUR."/>
    <x v="41"/>
    <m/>
    <n v="0"/>
    <n v="10304"/>
    <n v="0"/>
    <n v="0"/>
    <n v="0"/>
    <n v="10304"/>
    <s v="0"/>
    <s v="SANS POSTE"/>
    <s v="4"/>
    <s v="44"/>
    <s v="441"/>
    <s v="P03427"/>
    <s v="4"/>
    <m/>
    <x v="2"/>
    <m/>
    <m/>
    <x v="0"/>
    <m/>
    <m/>
    <s v="-"/>
    <m/>
    <m/>
    <s v="-"/>
  </r>
  <r>
    <s v="441980"/>
    <s v="AVANCES AUTRES SUB"/>
    <x v="42"/>
    <m/>
    <n v="0"/>
    <n v="50945.440000000002"/>
    <n v="0"/>
    <n v="0"/>
    <n v="0"/>
    <n v="50945.440000000002"/>
    <s v="0"/>
    <s v="SANS POSTE"/>
    <s v="4"/>
    <s v="44"/>
    <s v="441"/>
    <s v="P03427"/>
    <s v="4"/>
    <m/>
    <x v="2"/>
    <m/>
    <m/>
    <x v="0"/>
    <m/>
    <m/>
    <s v="-"/>
    <m/>
    <m/>
    <s v="-"/>
  </r>
  <r>
    <s v="443110"/>
    <s v="OPE POUR ETAT-BOURSE"/>
    <x v="43"/>
    <m/>
    <n v="30592.61"/>
    <n v="0"/>
    <n v="152514"/>
    <n v="151441"/>
    <n v="31665.61"/>
    <n v="0"/>
    <s v="0"/>
    <s v="SANS POSTE"/>
    <s v="4"/>
    <s v="44"/>
    <s v="443"/>
    <s v="P03427"/>
    <s v="4"/>
    <m/>
    <x v="2"/>
    <m/>
    <m/>
    <x v="0"/>
    <m/>
    <m/>
    <s v="-"/>
    <m/>
    <m/>
    <s v="-"/>
  </r>
  <r>
    <s v="466210"/>
    <s v="ELEVE-MAND. A PAYER"/>
    <x v="44"/>
    <m/>
    <n v="0"/>
    <n v="207"/>
    <n v="425.4"/>
    <n v="218.4"/>
    <n v="0"/>
    <n v="0"/>
    <s v="0"/>
    <s v="SANS POSTE"/>
    <s v="4"/>
    <s v="46"/>
    <s v="466"/>
    <s v="P03427"/>
    <s v="4"/>
    <m/>
    <x v="2"/>
    <m/>
    <m/>
    <x v="0"/>
    <m/>
    <m/>
    <s v="-"/>
    <m/>
    <m/>
    <s v="-"/>
  </r>
  <r>
    <s v="466300"/>
    <s v="VIREMENT A REIMPUT."/>
    <x v="45"/>
    <m/>
    <n v="0"/>
    <n v="3300.12"/>
    <n v="2403.06"/>
    <n v="2874.26"/>
    <n v="0"/>
    <n v="3771.32"/>
    <s v="0"/>
    <s v="SANS POSTE"/>
    <s v="4"/>
    <s v="46"/>
    <s v="466"/>
    <s v="P03427"/>
    <s v="4"/>
    <m/>
    <x v="2"/>
    <m/>
    <m/>
    <x v="0"/>
    <m/>
    <m/>
    <s v="-"/>
    <m/>
    <m/>
    <s v="-"/>
  </r>
  <r>
    <s v="466400"/>
    <s v="EXCED. VERST A REMB."/>
    <x v="46"/>
    <m/>
    <n v="0"/>
    <n v="88776.88"/>
    <n v="267.3"/>
    <n v="267.3"/>
    <n v="0"/>
    <n v="88776.88"/>
    <s v="0"/>
    <s v="SANS POSTE"/>
    <s v="4"/>
    <s v="46"/>
    <s v="466"/>
    <s v="P03427"/>
    <s v="4"/>
    <m/>
    <x v="2"/>
    <m/>
    <m/>
    <x v="0"/>
    <m/>
    <m/>
    <s v="-"/>
    <m/>
    <m/>
    <s v="-"/>
  </r>
  <r>
    <s v="466810"/>
    <s v="BOURS.DEDUC.A PAYER"/>
    <x v="47"/>
    <m/>
    <n v="0"/>
    <n v="4452"/>
    <n v="116388.96"/>
    <n v="141083.66"/>
    <n v="0"/>
    <n v="29146.7"/>
    <s v="0"/>
    <s v="SANS POSTE"/>
    <s v="4"/>
    <s v="46"/>
    <s v="466"/>
    <s v="P03427"/>
    <s v="4"/>
    <m/>
    <x v="2"/>
    <m/>
    <m/>
    <x v="0"/>
    <m/>
    <m/>
    <s v="-"/>
    <m/>
    <m/>
    <s v="-"/>
  </r>
  <r>
    <s v="467600"/>
    <s v="DONS ET LEGS"/>
    <x v="48"/>
    <m/>
    <n v="0"/>
    <n v="0"/>
    <n v="15660.66"/>
    <n v="0"/>
    <n v="15660.66"/>
    <n v="0"/>
    <s v="0"/>
    <s v="SANS POSTE"/>
    <s v="4"/>
    <s v="46"/>
    <s v="467"/>
    <s v="P03427"/>
    <s v="4"/>
    <m/>
    <x v="2"/>
    <m/>
    <m/>
    <x v="0"/>
    <m/>
    <m/>
    <s v="-"/>
    <m/>
    <m/>
    <s v="-"/>
  </r>
  <r>
    <s v="468600"/>
    <s v="AUTRES TIERS - CAP"/>
    <x v="49"/>
    <m/>
    <n v="0"/>
    <n v="4686.3"/>
    <n v="0"/>
    <n v="0"/>
    <n v="0"/>
    <n v="4686.3"/>
    <s v="0"/>
    <s v="SANS POSTE"/>
    <s v="4"/>
    <s v="46"/>
    <s v="468"/>
    <s v="P03427"/>
    <s v="4"/>
    <m/>
    <x v="2"/>
    <m/>
    <m/>
    <x v="0"/>
    <m/>
    <m/>
    <s v="-"/>
    <m/>
    <m/>
    <s v="-"/>
  </r>
  <r>
    <s v="471800"/>
    <s v="AUT.REC.A CLASSER"/>
    <x v="50"/>
    <m/>
    <n v="0"/>
    <n v="1178.2"/>
    <n v="0"/>
    <n v="0"/>
    <n v="0"/>
    <n v="1178.2"/>
    <s v="0"/>
    <s v="SANS POSTE"/>
    <s v="4"/>
    <s v="47"/>
    <s v="471"/>
    <s v="P03427"/>
    <s v="4"/>
    <m/>
    <x v="2"/>
    <m/>
    <m/>
    <x v="0"/>
    <m/>
    <m/>
    <s v="-"/>
    <m/>
    <m/>
    <s v="-"/>
  </r>
  <r>
    <s v="472100"/>
    <s v="DAO"/>
    <x v="51"/>
    <m/>
    <n v="0"/>
    <n v="0"/>
    <n v="354.75"/>
    <n v="354.75"/>
    <n v="0"/>
    <n v="0"/>
    <s v="0"/>
    <s v="SANS POSTE"/>
    <s v="4"/>
    <s v="47"/>
    <s v="472"/>
    <s v="P03427"/>
    <s v="4"/>
    <m/>
    <x v="2"/>
    <m/>
    <m/>
    <x v="0"/>
    <m/>
    <m/>
    <s v="-"/>
    <m/>
    <m/>
    <s v="-"/>
  </r>
  <r>
    <s v="472200"/>
    <s v="DEPENSES A EFFECTUER"/>
    <x v="52"/>
    <m/>
    <n v="0"/>
    <n v="0"/>
    <n v="118909.12"/>
    <n v="118909.12"/>
    <n v="0"/>
    <n v="0"/>
    <s v="0"/>
    <s v="SANS POSTE"/>
    <s v="4"/>
    <s v="47"/>
    <s v="472"/>
    <s v="P03427"/>
    <s v="4"/>
    <m/>
    <x v="2"/>
    <m/>
    <m/>
    <x v="0"/>
    <m/>
    <m/>
    <s v="-"/>
    <m/>
    <m/>
    <s v="-"/>
  </r>
  <r>
    <s v="511200"/>
    <s v="CHEQ.  A ENCAISS."/>
    <x v="53"/>
    <m/>
    <n v="661.16"/>
    <n v="0"/>
    <n v="15288.67"/>
    <n v="13312.57"/>
    <n v="2637.26"/>
    <n v="0"/>
    <s v="0"/>
    <s v="SANS POSTE"/>
    <s v="5"/>
    <s v="51"/>
    <s v="511"/>
    <s v="P03427"/>
    <s v="5"/>
    <m/>
    <x v="3"/>
    <m/>
    <m/>
    <x v="0"/>
    <m/>
    <m/>
    <s v="-"/>
    <m/>
    <m/>
    <s v="-"/>
  </r>
  <r>
    <s v="511500"/>
    <s v="CB A ENCAISS."/>
    <x v="54"/>
    <m/>
    <n v="0"/>
    <n v="387.1"/>
    <n v="50597.66"/>
    <n v="50461.86"/>
    <n v="0"/>
    <n v="251.3"/>
    <s v="0"/>
    <s v="SANS POSTE"/>
    <s v="5"/>
    <s v="51"/>
    <s v="511"/>
    <s v="P03427"/>
    <s v="5"/>
    <m/>
    <x v="3"/>
    <m/>
    <m/>
    <x v="0"/>
    <m/>
    <m/>
    <s v="-"/>
    <m/>
    <m/>
    <s v="-"/>
  </r>
  <r>
    <s v="511700"/>
    <s v="EFFETS IMPAYES"/>
    <x v="55"/>
    <m/>
    <n v="3082.94"/>
    <n v="0"/>
    <n v="66.400000000000006"/>
    <n v="163.19999999999999"/>
    <n v="2986.14"/>
    <n v="0"/>
    <s v="0"/>
    <s v="SANS POSTE"/>
    <s v="5"/>
    <s v="51"/>
    <s v="511"/>
    <s v="P03427"/>
    <s v="5"/>
    <m/>
    <x v="3"/>
    <m/>
    <m/>
    <x v="0"/>
    <m/>
    <m/>
    <s v="-"/>
    <m/>
    <m/>
    <s v="-"/>
  </r>
  <r>
    <s v="515100"/>
    <s v="COMPTE TRESOR"/>
    <x v="56"/>
    <m/>
    <n v="442495.06"/>
    <n v="0"/>
    <n v="1099117.74"/>
    <n v="980328.04"/>
    <n v="561284.76"/>
    <n v="0"/>
    <s v="0"/>
    <s v="SANS POSTE"/>
    <s v="5"/>
    <s v="51"/>
    <s v="515"/>
    <s v="P03427"/>
    <s v="5"/>
    <m/>
    <x v="3"/>
    <m/>
    <m/>
    <x v="0"/>
    <m/>
    <m/>
    <s v="-"/>
    <m/>
    <m/>
    <s v="-"/>
  </r>
  <r>
    <s v="515900"/>
    <s v="TRESOR REGL.EN COURS"/>
    <x v="57"/>
    <m/>
    <n v="0"/>
    <n v="61160.14"/>
    <n v="518919.89"/>
    <n v="513626.28"/>
    <n v="0"/>
    <n v="55866.53"/>
    <s v="0"/>
    <s v="SANS POSTE"/>
    <s v="5"/>
    <s v="51"/>
    <s v="515"/>
    <s v="P03427"/>
    <s v="5"/>
    <m/>
    <x v="3"/>
    <m/>
    <m/>
    <x v="0"/>
    <m/>
    <m/>
    <s v="-"/>
    <m/>
    <m/>
    <s v="-"/>
  </r>
  <r>
    <s v="531000"/>
    <s v="CAISSE"/>
    <x v="58"/>
    <m/>
    <n v="1357.89"/>
    <n v="0"/>
    <n v="13843.88"/>
    <n v="9173.3799999999992"/>
    <n v="6028.39"/>
    <n v="0"/>
    <s v="0"/>
    <s v="SANS POSTE"/>
    <s v="5"/>
    <s v="53"/>
    <s v="531"/>
    <s v="P03427"/>
    <s v="5"/>
    <m/>
    <x v="3"/>
    <m/>
    <m/>
    <x v="0"/>
    <m/>
    <m/>
    <s v="-"/>
    <m/>
    <m/>
    <s v="-"/>
  </r>
  <r>
    <s v="585000"/>
    <s v="VIREMENT INTERNE"/>
    <x v="59"/>
    <m/>
    <n v="60820.69"/>
    <n v="0"/>
    <n v="6185.7"/>
    <n v="6154.9"/>
    <n v="60851.49"/>
    <n v="0"/>
    <s v="0"/>
    <s v="SANS POSTE"/>
    <s v="5"/>
    <s v="58"/>
    <s v="585"/>
    <s v="P03427"/>
    <s v="5"/>
    <m/>
    <x v="3"/>
    <m/>
    <m/>
    <x v="0"/>
    <m/>
    <m/>
    <s v="-"/>
    <m/>
    <m/>
    <s v="-"/>
  </r>
  <r>
    <s v="601100"/>
    <s v="ACHATS DE DENREES"/>
    <x v="60"/>
    <m/>
    <n v="0"/>
    <n v="0"/>
    <n v="1161.3"/>
    <n v="309.25"/>
    <n v="852.05"/>
    <n v="0"/>
    <s v="601100"/>
    <s v="ACHATS DE DENREES"/>
    <s v="6"/>
    <s v="60"/>
    <s v="601"/>
    <s v="P03427"/>
    <s v="6"/>
    <m/>
    <x v="4"/>
    <m/>
    <m/>
    <x v="0"/>
    <m/>
    <m/>
    <s v="-"/>
    <m/>
    <m/>
    <s v="-"/>
  </r>
  <r>
    <s v="606110"/>
    <s v="FOURN.NON ST.EAU"/>
    <x v="61"/>
    <m/>
    <n v="0"/>
    <n v="0"/>
    <n v="19518.7"/>
    <n v="0"/>
    <n v="19518.7"/>
    <n v="0"/>
    <s v="606110"/>
    <s v="FOURN.NON ST.EAU"/>
    <s v="6"/>
    <s v="60"/>
    <s v="606"/>
    <s v="P03427"/>
    <s v="6"/>
    <m/>
    <x v="4"/>
    <m/>
    <m/>
    <x v="0"/>
    <m/>
    <m/>
    <s v="-"/>
    <m/>
    <m/>
    <s v="-"/>
  </r>
  <r>
    <s v="606130"/>
    <s v="FOURN.NON ST.ELECTRI"/>
    <x v="62"/>
    <m/>
    <n v="0"/>
    <n v="0"/>
    <n v="32401.72"/>
    <n v="0"/>
    <n v="32401.72"/>
    <n v="0"/>
    <s v="606130"/>
    <s v="FOURN.NON ST.ELECTRI"/>
    <s v="6"/>
    <s v="60"/>
    <s v="606"/>
    <s v="P03427"/>
    <s v="6"/>
    <m/>
    <x v="4"/>
    <m/>
    <m/>
    <x v="0"/>
    <m/>
    <m/>
    <s v="-"/>
    <m/>
    <m/>
    <s v="-"/>
  </r>
  <r>
    <s v="606140"/>
    <s v="FOURN.NO ST.CARB.LUB"/>
    <x v="63"/>
    <m/>
    <n v="0"/>
    <n v="0"/>
    <n v="1105.26"/>
    <n v="0"/>
    <n v="1105.26"/>
    <n v="0"/>
    <s v="606140"/>
    <s v="FOURN.NO ST.CARB.LUB"/>
    <s v="6"/>
    <s v="60"/>
    <s v="606"/>
    <s v="P03427"/>
    <s v="6"/>
    <m/>
    <x v="4"/>
    <m/>
    <m/>
    <x v="0"/>
    <m/>
    <m/>
    <s v="-"/>
    <m/>
    <m/>
    <s v="-"/>
  </r>
  <r>
    <s v="606210"/>
    <s v="MANUELS SCOLAIRES"/>
    <x v="64"/>
    <m/>
    <n v="0"/>
    <n v="0"/>
    <n v="13065.52"/>
    <n v="0"/>
    <n v="13065.52"/>
    <n v="0"/>
    <s v="606210"/>
    <s v="MANUELS SCOLAIRES"/>
    <s v="6"/>
    <s v="60"/>
    <s v="606"/>
    <s v="P03427"/>
    <s v="6"/>
    <m/>
    <x v="4"/>
    <m/>
    <m/>
    <x v="0"/>
    <m/>
    <m/>
    <s v="-"/>
    <m/>
    <m/>
    <s v="-"/>
  </r>
  <r>
    <s v="606220"/>
    <s v="OUVRAGES CDI"/>
    <x v="65"/>
    <m/>
    <n v="0"/>
    <n v="0"/>
    <n v="2817.04"/>
    <n v="0"/>
    <n v="2817.04"/>
    <n v="0"/>
    <s v="606220"/>
    <s v="OUVRAGES CDI"/>
    <s v="6"/>
    <s v="60"/>
    <s v="606"/>
    <s v="P03427"/>
    <s v="6"/>
    <m/>
    <x v="4"/>
    <m/>
    <m/>
    <x v="0"/>
    <m/>
    <m/>
    <s v="-"/>
    <m/>
    <m/>
    <s v="-"/>
  </r>
  <r>
    <s v="606230"/>
    <s v="DOC. ADMIN."/>
    <x v="66"/>
    <m/>
    <n v="0"/>
    <n v="0"/>
    <n v="22.9"/>
    <n v="0"/>
    <n v="22.9"/>
    <n v="0"/>
    <s v="606230"/>
    <s v="DOC. ADMIN."/>
    <s v="6"/>
    <s v="60"/>
    <s v="606"/>
    <s v="P03427"/>
    <s v="6"/>
    <m/>
    <x v="4"/>
    <m/>
    <m/>
    <x v="0"/>
    <m/>
    <m/>
    <s v="-"/>
    <m/>
    <m/>
    <s v="-"/>
  </r>
  <r>
    <s v="606300"/>
    <s v="FOURN.PETIT.MAT.ENTR"/>
    <x v="67"/>
    <m/>
    <n v="0"/>
    <n v="0"/>
    <n v="293"/>
    <n v="0"/>
    <n v="293"/>
    <n v="0"/>
    <s v="606300"/>
    <s v="FOURN.PETIT.MAT.ENTR"/>
    <s v="6"/>
    <s v="60"/>
    <s v="606"/>
    <s v="P03427"/>
    <s v="6"/>
    <m/>
    <x v="4"/>
    <m/>
    <m/>
    <x v="0"/>
    <m/>
    <m/>
    <s v="-"/>
    <m/>
    <m/>
    <s v="-"/>
  </r>
  <r>
    <s v="606400"/>
    <s v="FOURN.ADMINISTRATIVE"/>
    <x v="68"/>
    <m/>
    <n v="0"/>
    <n v="0"/>
    <n v="9271.11"/>
    <n v="0"/>
    <n v="9271.11"/>
    <n v="0"/>
    <s v="606400"/>
    <s v="FOURN.ADMINISTRATIVE"/>
    <s v="6"/>
    <s v="60"/>
    <s v="606"/>
    <s v="P03427"/>
    <s v="6"/>
    <m/>
    <x v="4"/>
    <m/>
    <m/>
    <x v="0"/>
    <m/>
    <m/>
    <s v="-"/>
    <m/>
    <m/>
    <s v="-"/>
  </r>
  <r>
    <s v="606500"/>
    <s v="LINGE,VETEMENTS TRAV"/>
    <x v="69"/>
    <m/>
    <n v="0"/>
    <n v="0"/>
    <n v="9995.2900000000009"/>
    <n v="0"/>
    <n v="9995.2900000000009"/>
    <n v="0"/>
    <s v="606500"/>
    <s v="LINGE,VETEMENTS TRAV"/>
    <s v="6"/>
    <s v="60"/>
    <s v="606"/>
    <s v="P03427"/>
    <s v="6"/>
    <m/>
    <x v="4"/>
    <m/>
    <m/>
    <x v="0"/>
    <m/>
    <m/>
    <s v="-"/>
    <m/>
    <m/>
    <s v="-"/>
  </r>
  <r>
    <s v="606600"/>
    <s v="INFIRM&amp;PROD. PHARMA"/>
    <x v="70"/>
    <m/>
    <n v="0"/>
    <n v="0"/>
    <n v="639.83000000000004"/>
    <n v="0"/>
    <n v="639.83000000000004"/>
    <n v="0"/>
    <s v="606600"/>
    <s v="INFIRM&amp;PROD. PHARMA"/>
    <s v="6"/>
    <s v="60"/>
    <s v="606"/>
    <s v="P03427"/>
    <s v="6"/>
    <m/>
    <x v="4"/>
    <m/>
    <m/>
    <x v="0"/>
    <m/>
    <m/>
    <s v="-"/>
    <m/>
    <m/>
    <s v="-"/>
  </r>
  <r>
    <s v="606700"/>
    <s v="F.MAT.ENS. NON IMM."/>
    <x v="71"/>
    <m/>
    <n v="0"/>
    <n v="0"/>
    <n v="6831.5"/>
    <n v="10.31"/>
    <n v="6821.19"/>
    <n v="0"/>
    <s v="606700"/>
    <s v="F.MAT.ENS. NON IMM."/>
    <s v="6"/>
    <s v="60"/>
    <s v="606"/>
    <s v="P03427"/>
    <s v="6"/>
    <m/>
    <x v="4"/>
    <m/>
    <m/>
    <x v="0"/>
    <m/>
    <m/>
    <s v="-"/>
    <m/>
    <m/>
    <s v="-"/>
  </r>
  <r>
    <s v="606800"/>
    <s v="MAT.MOB.OUT.NON IMM."/>
    <x v="72"/>
    <m/>
    <n v="0"/>
    <n v="0"/>
    <n v="35038.910000000003"/>
    <n v="0"/>
    <n v="35038.910000000003"/>
    <n v="0"/>
    <s v="606800"/>
    <s v="MAT.MOB.OUT.NON IMM."/>
    <s v="6"/>
    <s v="60"/>
    <s v="606"/>
    <s v="P03427"/>
    <s v="6"/>
    <m/>
    <x v="4"/>
    <m/>
    <m/>
    <x v="0"/>
    <m/>
    <m/>
    <s v="-"/>
    <m/>
    <m/>
    <s v="-"/>
  </r>
  <r>
    <s v="611100"/>
    <s v="/S-TRAIT. REST. H."/>
    <x v="73"/>
    <m/>
    <n v="0"/>
    <n v="0"/>
    <n v="156842.01999999999"/>
    <n v="690.34"/>
    <n v="156151.67999999999"/>
    <n v="0"/>
    <s v="611100"/>
    <s v="/S-TRAIT. REST. H."/>
    <s v="6"/>
    <s v="61"/>
    <s v="611"/>
    <s v="P03427"/>
    <s v="6"/>
    <m/>
    <x v="4"/>
    <m/>
    <m/>
    <x v="0"/>
    <m/>
    <m/>
    <s v="-"/>
    <m/>
    <m/>
    <s v="-"/>
  </r>
  <r>
    <s v="611200"/>
    <s v="/S-TRAIT. DIV.ENTR."/>
    <x v="74"/>
    <m/>
    <n v="0"/>
    <n v="0"/>
    <n v="8229.1200000000008"/>
    <n v="0"/>
    <n v="8229.1200000000008"/>
    <n v="0"/>
    <s v="611200"/>
    <s v="/S-TRAIT. DIV.ENTR."/>
    <s v="6"/>
    <s v="61"/>
    <s v="611"/>
    <s v="P03427"/>
    <s v="6"/>
    <m/>
    <x v="4"/>
    <m/>
    <m/>
    <x v="0"/>
    <m/>
    <m/>
    <s v="-"/>
    <m/>
    <m/>
    <s v="-"/>
  </r>
  <r>
    <s v="611800"/>
    <s v="/S-TRAIT. AUTRES"/>
    <x v="75"/>
    <m/>
    <n v="0"/>
    <n v="0"/>
    <n v="14209.63"/>
    <n v="0"/>
    <n v="14209.63"/>
    <n v="0"/>
    <s v="611800"/>
    <s v="/S-TRAIT. AUTRES"/>
    <s v="6"/>
    <s v="61"/>
    <s v="611"/>
    <s v="P03427"/>
    <s v="6"/>
    <m/>
    <x v="4"/>
    <m/>
    <m/>
    <x v="0"/>
    <m/>
    <m/>
    <s v="-"/>
    <m/>
    <m/>
    <s v="-"/>
  </r>
  <r>
    <s v="612000"/>
    <s v="REDEV. CREDIT-BAIL"/>
    <x v="76"/>
    <m/>
    <n v="0"/>
    <n v="0"/>
    <n v="1719.8"/>
    <n v="0"/>
    <n v="1719.8"/>
    <n v="0"/>
    <s v="612000"/>
    <s v="REDEV. CREDIT-BAIL"/>
    <s v="6"/>
    <s v="61"/>
    <s v="612"/>
    <s v="P03427"/>
    <s v="6"/>
    <m/>
    <x v="4"/>
    <m/>
    <m/>
    <x v="0"/>
    <m/>
    <m/>
    <s v="-"/>
    <m/>
    <m/>
    <s v="-"/>
  </r>
  <r>
    <s v="613200"/>
    <s v="AUTRES LOCATIONS"/>
    <x v="77"/>
    <m/>
    <n v="0"/>
    <n v="0"/>
    <n v="40670.82"/>
    <n v="0"/>
    <n v="40670.82"/>
    <n v="0"/>
    <s v="613200"/>
    <s v="AUTRES LOCATIONS"/>
    <s v="6"/>
    <s v="61"/>
    <s v="613"/>
    <s v="P03427"/>
    <s v="6"/>
    <m/>
    <x v="4"/>
    <m/>
    <m/>
    <x v="0"/>
    <m/>
    <m/>
    <s v="-"/>
    <m/>
    <m/>
    <s v="-"/>
  </r>
  <r>
    <s v="615000"/>
    <s v="ENTR. REPAR. EL.ACT."/>
    <x v="78"/>
    <m/>
    <n v="0"/>
    <n v="0"/>
    <n v="238.96"/>
    <n v="0"/>
    <n v="238.96"/>
    <n v="0"/>
    <s v="615000"/>
    <s v="ENTR. REPAR. EL.ACT."/>
    <s v="6"/>
    <s v="61"/>
    <s v="615"/>
    <s v="P03427"/>
    <s v="6"/>
    <m/>
    <x v="4"/>
    <m/>
    <m/>
    <x v="0"/>
    <m/>
    <m/>
    <s v="-"/>
    <m/>
    <m/>
    <s v="-"/>
  </r>
  <r>
    <s v="616000"/>
    <s v="PRIMES D’ASSURANCE"/>
    <x v="79"/>
    <m/>
    <n v="0"/>
    <n v="0"/>
    <n v="2112.27"/>
    <n v="0"/>
    <n v="2112.27"/>
    <n v="0"/>
    <s v="616000"/>
    <s v="PRIMES D’ASSURANCE"/>
    <s v="6"/>
    <s v="61"/>
    <s v="616"/>
    <s v="P03427"/>
    <s v="6"/>
    <m/>
    <x v="4"/>
    <m/>
    <m/>
    <x v="0"/>
    <m/>
    <m/>
    <s v="-"/>
    <m/>
    <m/>
    <s v="-"/>
  </r>
  <r>
    <s v="618120"/>
    <s v="OUVR. NUMERIQ. CDI"/>
    <x v="80"/>
    <m/>
    <n v="0"/>
    <n v="0"/>
    <n v="740.28"/>
    <n v="0"/>
    <n v="740.28"/>
    <n v="0"/>
    <s v="618120"/>
    <s v="OUVR. NUMERIQ. CDI"/>
    <s v="6"/>
    <s v="61"/>
    <s v="618"/>
    <s v="P03427"/>
    <s v="6"/>
    <m/>
    <x v="4"/>
    <m/>
    <m/>
    <x v="0"/>
    <m/>
    <m/>
    <s v="-"/>
    <m/>
    <m/>
    <s v="-"/>
  </r>
  <r>
    <s v="618130"/>
    <s v="OUVR. NUMERIQ. ADM."/>
    <x v="81"/>
    <m/>
    <n v="0"/>
    <n v="0"/>
    <n v="738.58"/>
    <n v="0"/>
    <n v="738.58"/>
    <n v="0"/>
    <s v="618130"/>
    <s v="OUVR. NUMERIQ. ADM."/>
    <s v="6"/>
    <s v="61"/>
    <s v="618"/>
    <s v="P03427"/>
    <s v="6"/>
    <m/>
    <x v="4"/>
    <m/>
    <m/>
    <x v="0"/>
    <m/>
    <m/>
    <s v="-"/>
    <m/>
    <m/>
    <s v="-"/>
  </r>
  <r>
    <s v="621000"/>
    <s v="PERS. EXT. A L’ETAB."/>
    <x v="82"/>
    <m/>
    <n v="0"/>
    <n v="0"/>
    <n v="2593"/>
    <n v="0"/>
    <n v="2593"/>
    <n v="0"/>
    <s v="621000"/>
    <s v="PERS. EXT. A L’ETAB."/>
    <s v="6"/>
    <s v="62"/>
    <s v="621"/>
    <s v="P03427"/>
    <s v="6"/>
    <m/>
    <x v="4"/>
    <m/>
    <m/>
    <x v="0"/>
    <m/>
    <m/>
    <s v="-"/>
    <m/>
    <m/>
    <s v="-"/>
  </r>
  <r>
    <s v="622000"/>
    <s v="REMUN.INTERM.HONOR."/>
    <x v="83"/>
    <m/>
    <n v="0"/>
    <n v="0"/>
    <n v="1399.9"/>
    <n v="0"/>
    <n v="1399.9"/>
    <n v="0"/>
    <s v="622000"/>
    <s v="REMUN.INTERM.HONOR."/>
    <s v="6"/>
    <s v="62"/>
    <s v="622"/>
    <s v="P03427"/>
    <s v="6"/>
    <m/>
    <x v="4"/>
    <m/>
    <m/>
    <x v="0"/>
    <m/>
    <m/>
    <s v="-"/>
    <m/>
    <m/>
    <s v="-"/>
  </r>
  <r>
    <s v="624000"/>
    <s v="TRANSP.B&amp;P. H.VOY.S."/>
    <x v="84"/>
    <m/>
    <n v="0"/>
    <n v="0"/>
    <n v="21086.41"/>
    <n v="0"/>
    <n v="21086.41"/>
    <n v="0"/>
    <s v="624000"/>
    <s v="TRANSP.B&amp;P. H.VOY.S."/>
    <s v="6"/>
    <s v="62"/>
    <s v="624"/>
    <s v="P03427"/>
    <s v="6"/>
    <m/>
    <x v="4"/>
    <m/>
    <m/>
    <x v="0"/>
    <m/>
    <m/>
    <s v="-"/>
    <m/>
    <m/>
    <s v="-"/>
  </r>
  <r>
    <s v="625111"/>
    <s v="VOY.DEPL.EL. VOYAGES"/>
    <x v="85"/>
    <m/>
    <n v="0"/>
    <n v="0"/>
    <n v="1926.95"/>
    <n v="0"/>
    <n v="1926.95"/>
    <n v="0"/>
    <s v="625111"/>
    <s v="VOY.DEPL.EL. VOYAGES"/>
    <s v="6"/>
    <s v="62"/>
    <s v="625"/>
    <s v="P03427"/>
    <s v="6"/>
    <m/>
    <x v="4"/>
    <m/>
    <m/>
    <x v="0"/>
    <m/>
    <m/>
    <s v="-"/>
    <m/>
    <m/>
    <s v="-"/>
  </r>
  <r>
    <s v="625112"/>
    <s v="VOY.DEPL.EL. SORTIES"/>
    <x v="86"/>
    <m/>
    <n v="0"/>
    <n v="0"/>
    <n v="7244.24"/>
    <n v="0"/>
    <n v="7244.24"/>
    <n v="0"/>
    <s v="625112"/>
    <s v="VOY.DEPL.EL. SORTIES"/>
    <s v="6"/>
    <s v="62"/>
    <s v="625"/>
    <s v="P03427"/>
    <s v="6"/>
    <m/>
    <x v="4"/>
    <m/>
    <m/>
    <x v="0"/>
    <m/>
    <m/>
    <s v="-"/>
    <m/>
    <m/>
    <s v="-"/>
  </r>
  <r>
    <s v="625700"/>
    <s v="FRAIS RECEP.(P.EXT.)"/>
    <x v="87"/>
    <m/>
    <n v="0"/>
    <n v="0"/>
    <n v="2683.66"/>
    <n v="0"/>
    <n v="2683.66"/>
    <n v="0"/>
    <s v="625700"/>
    <s v="FRAIS RECEP.(P.EXT.)"/>
    <s v="6"/>
    <s v="62"/>
    <s v="625"/>
    <s v="P03427"/>
    <s v="6"/>
    <m/>
    <x v="4"/>
    <m/>
    <m/>
    <x v="0"/>
    <m/>
    <m/>
    <s v="-"/>
    <m/>
    <m/>
    <s v="-"/>
  </r>
  <r>
    <s v="626000"/>
    <s v="FRAIS POST.TELECOM."/>
    <x v="88"/>
    <m/>
    <n v="0"/>
    <n v="0"/>
    <n v="24247.41"/>
    <n v="0"/>
    <n v="24247.41"/>
    <n v="0"/>
    <s v="626000"/>
    <s v="FRAIS POST.TELECOM."/>
    <s v="6"/>
    <s v="62"/>
    <s v="626"/>
    <s v="P03427"/>
    <s v="6"/>
    <m/>
    <x v="4"/>
    <m/>
    <m/>
    <x v="0"/>
    <m/>
    <m/>
    <s v="-"/>
    <m/>
    <m/>
    <s v="-"/>
  </r>
  <r>
    <s v="627000"/>
    <s v="SERVICES BANCAIRES"/>
    <x v="89"/>
    <m/>
    <n v="0"/>
    <n v="0"/>
    <n v="214.8"/>
    <n v="0"/>
    <n v="214.8"/>
    <n v="0"/>
    <s v="627000"/>
    <s v="SERVICES BANCAIRES"/>
    <s v="6"/>
    <s v="62"/>
    <s v="627"/>
    <s v="P03427"/>
    <s v="6"/>
    <m/>
    <x v="4"/>
    <m/>
    <m/>
    <x v="0"/>
    <m/>
    <m/>
    <s v="-"/>
    <m/>
    <m/>
    <s v="-"/>
  </r>
  <r>
    <s v="628600"/>
    <s v="CONCOURS DIVERS"/>
    <x v="90"/>
    <m/>
    <n v="0"/>
    <n v="0"/>
    <n v="1422.9"/>
    <n v="0"/>
    <n v="1422.9"/>
    <n v="0"/>
    <s v="628600"/>
    <s v="CONCOURS DIVERS"/>
    <s v="6"/>
    <s v="62"/>
    <s v="628"/>
    <s v="P03427"/>
    <s v="6"/>
    <m/>
    <x v="4"/>
    <m/>
    <m/>
    <x v="0"/>
    <m/>
    <m/>
    <s v="-"/>
    <m/>
    <m/>
    <s v="-"/>
  </r>
  <r>
    <s v="628700"/>
    <s v="FACTUR. SERV.MUT."/>
    <x v="91"/>
    <m/>
    <n v="0"/>
    <n v="0"/>
    <n v="744"/>
    <n v="0"/>
    <n v="744"/>
    <n v="0"/>
    <s v="628700"/>
    <s v="FACTUR. SERV.MUT."/>
    <s v="6"/>
    <s v="62"/>
    <s v="628"/>
    <s v="P03427"/>
    <s v="6"/>
    <m/>
    <x v="4"/>
    <m/>
    <m/>
    <x v="0"/>
    <m/>
    <m/>
    <s v="-"/>
    <m/>
    <m/>
    <s v="-"/>
  </r>
  <r>
    <s v="628800"/>
    <s v="AUTRES CH. EXT. DIV."/>
    <x v="92"/>
    <m/>
    <n v="0"/>
    <n v="0"/>
    <n v="1729.27"/>
    <n v="0"/>
    <n v="1729.27"/>
    <n v="0"/>
    <s v="628800"/>
    <s v="AUTRES CH. EXT. DIV."/>
    <s v="6"/>
    <s v="62"/>
    <s v="628"/>
    <s v="P03427"/>
    <s v="6"/>
    <m/>
    <x v="4"/>
    <m/>
    <m/>
    <x v="0"/>
    <m/>
    <m/>
    <s v="-"/>
    <m/>
    <m/>
    <s v="-"/>
  </r>
  <r>
    <s v="644700"/>
    <s v="REMUN. ASSIST. EDUC."/>
    <x v="93"/>
    <m/>
    <n v="0"/>
    <n v="0"/>
    <n v="353467.61"/>
    <n v="0"/>
    <n v="353467.61"/>
    <n v="0"/>
    <s v="644700"/>
    <s v="REMUN. ASSIST. EDUC."/>
    <s v="6"/>
    <s v="64"/>
    <s v="644"/>
    <s v="P03427"/>
    <s v="6"/>
    <m/>
    <x v="4"/>
    <m/>
    <m/>
    <x v="0"/>
    <m/>
    <m/>
    <s v="-"/>
    <m/>
    <m/>
    <s v="-"/>
  </r>
  <r>
    <s v="651100"/>
    <s v="REDEV.CONCESS.BREV."/>
    <x v="94"/>
    <m/>
    <n v="0"/>
    <n v="0"/>
    <n v="4302.03"/>
    <n v="0"/>
    <n v="4302.03"/>
    <n v="0"/>
    <s v="651100"/>
    <s v="REDEV.CONCESS.BREV."/>
    <s v="6"/>
    <s v="65"/>
    <s v="651"/>
    <s v="P03427"/>
    <s v="6"/>
    <m/>
    <x v="4"/>
    <m/>
    <m/>
    <x v="0"/>
    <m/>
    <m/>
    <s v="-"/>
    <m/>
    <m/>
    <s v="-"/>
  </r>
  <r>
    <s v="651600"/>
    <s v="DROITS AUTEUR REPRO."/>
    <x v="95"/>
    <m/>
    <n v="0"/>
    <n v="0"/>
    <n v="1600.88"/>
    <n v="0"/>
    <n v="1600.88"/>
    <n v="0"/>
    <s v="651600"/>
    <s v="DROITS AUTEUR REPRO."/>
    <s v="6"/>
    <s v="65"/>
    <s v="651"/>
    <s v="P03427"/>
    <s v="6"/>
    <m/>
    <x v="4"/>
    <m/>
    <m/>
    <x v="0"/>
    <m/>
    <m/>
    <s v="-"/>
    <m/>
    <m/>
    <s v="-"/>
  </r>
  <r>
    <s v="653200"/>
    <s v="TRANFERT C.T.R."/>
    <x v="96"/>
    <m/>
    <n v="0"/>
    <n v="0"/>
    <n v="16572.36"/>
    <n v="0"/>
    <n v="16572.36"/>
    <n v="0"/>
    <s v="653200"/>
    <s v="TRANFERT C.T.R."/>
    <s v="6"/>
    <s v="65"/>
    <s v="653"/>
    <s v="P03427"/>
    <s v="6"/>
    <m/>
    <x v="4"/>
    <m/>
    <m/>
    <x v="0"/>
    <m/>
    <m/>
    <s v="-"/>
    <m/>
    <m/>
    <s v="-"/>
  </r>
  <r>
    <s v="657610"/>
    <s v="AIDE SOCIALE EL.ETAT"/>
    <x v="97"/>
    <m/>
    <n v="0"/>
    <n v="0"/>
    <n v="4765.5"/>
    <n v="0"/>
    <n v="4765.5"/>
    <n v="0"/>
    <s v="657610"/>
    <s v="AIDE SOCIALE EL.ETAT"/>
    <s v="6"/>
    <s v="65"/>
    <s v="657"/>
    <s v="P03427"/>
    <s v="6"/>
    <m/>
    <x v="4"/>
    <m/>
    <m/>
    <x v="0"/>
    <m/>
    <m/>
    <s v="-"/>
    <m/>
    <m/>
    <s v="-"/>
  </r>
  <r>
    <s v="658800"/>
    <s v="AUTRES CH.DIVERSES"/>
    <x v="98"/>
    <m/>
    <n v="0"/>
    <n v="0"/>
    <n v="747.11"/>
    <n v="0"/>
    <n v="747.11"/>
    <n v="0"/>
    <s v="658800"/>
    <s v="AUTRES CH.DIVERSES"/>
    <s v="6"/>
    <s v="65"/>
    <s v="658"/>
    <s v="P03427"/>
    <s v="6"/>
    <m/>
    <x v="4"/>
    <m/>
    <m/>
    <x v="0"/>
    <m/>
    <m/>
    <s v="-"/>
    <m/>
    <m/>
    <s v="-"/>
  </r>
  <r>
    <s v="681100"/>
    <s v="DOT.IMMO.CORP.INCOR."/>
    <x v="99"/>
    <m/>
    <n v="0"/>
    <n v="0"/>
    <n v="7094.25"/>
    <n v="0"/>
    <n v="7094.25"/>
    <n v="0"/>
    <s v="681100"/>
    <s v="DOT.IMMO.CORP.INCOR."/>
    <s v="6"/>
    <s v="68"/>
    <s v="681"/>
    <s v="P03427"/>
    <s v="6"/>
    <m/>
    <x v="4"/>
    <m/>
    <m/>
    <x v="0"/>
    <m/>
    <m/>
    <s v="-"/>
    <m/>
    <m/>
    <s v="-"/>
  </r>
  <r>
    <s v="706210"/>
    <s v="REST.ELEVES FORFAIT"/>
    <x v="100"/>
    <m/>
    <n v="0"/>
    <n v="0"/>
    <n v="0"/>
    <n v="147309.9"/>
    <n v="0"/>
    <n v="147309.9"/>
    <s v="706210"/>
    <s v="REST.ELEVES FORFAIT"/>
    <s v="7"/>
    <s v="70"/>
    <s v="706"/>
    <s v="P03427"/>
    <s v="7"/>
    <m/>
    <x v="5"/>
    <m/>
    <m/>
    <x v="0"/>
    <m/>
    <m/>
    <s v="-"/>
    <m/>
    <m/>
    <s v="-"/>
  </r>
  <r>
    <s v="706220"/>
    <s v="REST.ELEVES H.FORF"/>
    <x v="101"/>
    <m/>
    <n v="0"/>
    <n v="0"/>
    <n v="0"/>
    <n v="914.75"/>
    <n v="0"/>
    <n v="914.75"/>
    <s v="706220"/>
    <s v="REST.ELEVES H.FORF"/>
    <s v="7"/>
    <s v="70"/>
    <s v="706"/>
    <s v="P03427"/>
    <s v="7"/>
    <m/>
    <x v="5"/>
    <m/>
    <m/>
    <x v="0"/>
    <m/>
    <m/>
    <s v="-"/>
    <m/>
    <m/>
    <s v="-"/>
  </r>
  <r>
    <s v="706230"/>
    <s v="REST.AUTRES TIERS"/>
    <x v="102"/>
    <m/>
    <n v="0"/>
    <n v="0"/>
    <n v="0"/>
    <n v="925"/>
    <n v="0"/>
    <n v="925"/>
    <s v="706230"/>
    <s v="REST.AUTRES TIERS"/>
    <s v="7"/>
    <s v="70"/>
    <s v="706"/>
    <s v="P03427"/>
    <s v="7"/>
    <m/>
    <x v="5"/>
    <m/>
    <m/>
    <x v="0"/>
    <m/>
    <m/>
    <s v="-"/>
    <m/>
    <m/>
    <s v="-"/>
  </r>
  <r>
    <s v="706800"/>
    <s v="AUT. PRESTATIONS"/>
    <x v="103"/>
    <m/>
    <n v="0"/>
    <n v="0"/>
    <n v="0"/>
    <n v="1286"/>
    <n v="0"/>
    <n v="1286"/>
    <s v="706800"/>
    <s v="AUT. PRESTATIONS"/>
    <s v="7"/>
    <s v="70"/>
    <s v="706"/>
    <s v="P03427"/>
    <s v="7"/>
    <m/>
    <x v="5"/>
    <m/>
    <m/>
    <x v="0"/>
    <m/>
    <m/>
    <s v="-"/>
    <m/>
    <m/>
    <s v="-"/>
  </r>
  <r>
    <s v="708800"/>
    <s v="AUT. PROD. ACT. ANN."/>
    <x v="104"/>
    <m/>
    <n v="0"/>
    <n v="0"/>
    <n v="0"/>
    <n v="2114"/>
    <n v="0"/>
    <n v="2114"/>
    <s v="708800"/>
    <s v="AUT. PROD. ACT. ANN."/>
    <s v="7"/>
    <s v="70"/>
    <s v="708"/>
    <s v="P03427"/>
    <s v="7"/>
    <m/>
    <x v="5"/>
    <m/>
    <m/>
    <x v="0"/>
    <m/>
    <m/>
    <s v="-"/>
    <m/>
    <m/>
    <s v="-"/>
  </r>
  <r>
    <s v="741130"/>
    <s v="SUBV MEN- P141"/>
    <x v="105"/>
    <m/>
    <n v="0"/>
    <n v="0"/>
    <n v="0"/>
    <n v="20088.63"/>
    <n v="0"/>
    <n v="20088.63"/>
    <s v="741130"/>
    <s v="SUBV MEN- P141"/>
    <s v="7"/>
    <s v="74"/>
    <s v="741"/>
    <s v="P03427"/>
    <s v="7"/>
    <m/>
    <x v="5"/>
    <m/>
    <m/>
    <x v="0"/>
    <m/>
    <m/>
    <s v="-"/>
    <m/>
    <m/>
    <s v="-"/>
  </r>
  <r>
    <s v="741150"/>
    <s v="SUBV MEN - P230-AED"/>
    <x v="106"/>
    <m/>
    <n v="0"/>
    <n v="0"/>
    <n v="0"/>
    <n v="353467.61"/>
    <n v="0"/>
    <n v="353467.61"/>
    <s v="741150"/>
    <s v="SUBV MEN - P230-AED"/>
    <s v="7"/>
    <s v="74"/>
    <s v="741"/>
    <s v="P03427"/>
    <s v="7"/>
    <m/>
    <x v="5"/>
    <m/>
    <m/>
    <x v="0"/>
    <m/>
    <m/>
    <s v="-"/>
    <m/>
    <m/>
    <s v="-"/>
  </r>
  <r>
    <s v="741160"/>
    <s v="SUBV MEN-P230-AUTRE"/>
    <x v="107"/>
    <m/>
    <n v="0"/>
    <n v="0"/>
    <n v="10.31"/>
    <n v="17774.78"/>
    <n v="0"/>
    <n v="17764.47"/>
    <s v="741160"/>
    <s v="SUBV MEN-P230-AUTRE"/>
    <s v="7"/>
    <s v="74"/>
    <s v="741"/>
    <s v="P03427"/>
    <s v="7"/>
    <m/>
    <x v="5"/>
    <m/>
    <m/>
    <x v="0"/>
    <m/>
    <m/>
    <s v="-"/>
    <m/>
    <m/>
    <s v="-"/>
  </r>
  <r>
    <s v="741800"/>
    <s v="SUBV AUT. MINISTERES"/>
    <x v="108"/>
    <m/>
    <n v="0"/>
    <n v="0"/>
    <n v="0"/>
    <n v="3590.7"/>
    <n v="0"/>
    <n v="3590.7"/>
    <s v="741800"/>
    <s v="SUBV AUT. MINISTERES"/>
    <s v="7"/>
    <s v="74"/>
    <s v="741"/>
    <s v="P03427"/>
    <s v="7"/>
    <m/>
    <x v="5"/>
    <m/>
    <m/>
    <x v="0"/>
    <m/>
    <m/>
    <s v="-"/>
    <m/>
    <m/>
    <s v="-"/>
  </r>
  <r>
    <s v="744310"/>
    <s v="SUBV FCT-DEPT"/>
    <x v="109"/>
    <m/>
    <n v="0"/>
    <n v="0"/>
    <n v="0"/>
    <n v="130299.5"/>
    <n v="0"/>
    <n v="130299.5"/>
    <s v="744310"/>
    <s v="SUBV FCT-DEPT"/>
    <s v="7"/>
    <s v="74"/>
    <s v="744"/>
    <s v="P03427"/>
    <s v="7"/>
    <m/>
    <x v="5"/>
    <m/>
    <m/>
    <x v="0"/>
    <m/>
    <m/>
    <s v="-"/>
    <m/>
    <m/>
    <s v="-"/>
  </r>
  <r>
    <s v="744380"/>
    <s v="AUTRE SUBV.DEPARTEME"/>
    <x v="110"/>
    <m/>
    <n v="0"/>
    <n v="0"/>
    <n v="0"/>
    <n v="47710.23"/>
    <n v="0"/>
    <n v="47710.23"/>
    <s v="744380"/>
    <s v="AUTRE SUBV.DEPARTEME"/>
    <s v="7"/>
    <s v="74"/>
    <s v="744"/>
    <s v="P03427"/>
    <s v="7"/>
    <m/>
    <x v="5"/>
    <m/>
    <m/>
    <x v="0"/>
    <m/>
    <m/>
    <s v="-"/>
    <m/>
    <m/>
    <s v="-"/>
  </r>
  <r>
    <s v="744800"/>
    <s v="AUTRES SUBVENTIONS"/>
    <x v="111"/>
    <m/>
    <n v="0"/>
    <n v="0"/>
    <n v="0"/>
    <n v="46776.4"/>
    <n v="0"/>
    <n v="46776.4"/>
    <s v="744800"/>
    <s v="AUTRES SUBVENTIONS"/>
    <s v="7"/>
    <s v="74"/>
    <s v="744"/>
    <s v="P03427"/>
    <s v="7"/>
    <m/>
    <x v="5"/>
    <m/>
    <m/>
    <x v="0"/>
    <m/>
    <m/>
    <s v="-"/>
    <m/>
    <m/>
    <s v="-"/>
  </r>
  <r>
    <s v="746800"/>
    <s v="AUTRES DONS ET LEGS"/>
    <x v="112"/>
    <m/>
    <n v="0"/>
    <n v="0"/>
    <n v="0"/>
    <n v="15660.66"/>
    <n v="0"/>
    <n v="15660.66"/>
    <s v="746800"/>
    <s v="AUTRES DONS ET LEGS"/>
    <s v="7"/>
    <s v="74"/>
    <s v="746"/>
    <s v="P03427"/>
    <s v="7"/>
    <m/>
    <x v="5"/>
    <m/>
    <m/>
    <x v="0"/>
    <m/>
    <m/>
    <s v="-"/>
    <m/>
    <m/>
    <s v="-"/>
  </r>
  <r>
    <s v="781320"/>
    <s v="Q.P.RES.F.ACT.AUT.ET"/>
    <x v="113"/>
    <m/>
    <n v="0"/>
    <n v="0"/>
    <n v="0"/>
    <n v="5358.83"/>
    <n v="0"/>
    <n v="5358.83"/>
    <s v="781320"/>
    <s v="Q.P.RES.F.ACT.AUT.ET"/>
    <s v="7"/>
    <s v="78"/>
    <s v="781"/>
    <s v="P03427"/>
    <s v="7"/>
    <m/>
    <x v="5"/>
    <m/>
    <m/>
    <x v="0"/>
    <m/>
    <m/>
    <s v="-"/>
    <m/>
    <m/>
    <s v="-"/>
  </r>
  <r>
    <m/>
    <m/>
    <x v="114"/>
    <m/>
    <m/>
    <m/>
    <m/>
    <m/>
    <m/>
    <m/>
    <m/>
    <m/>
    <m/>
    <m/>
    <m/>
    <m/>
    <m/>
    <m/>
    <x v="6"/>
    <m/>
    <m/>
    <x v="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" cacheId="149" applyNumberFormats="0" applyBorderFormats="0" applyFontFormats="0" applyPatternFormats="0" applyAlignmentFormats="0" applyWidthHeightFormats="1" dataCaption="Valeurs" updatedVersion="6" minRefreshableVersion="3" itemPrintTitles="1" createdVersion="5" indent="0" outline="1" outlineData="1" multipleFieldFilters="0">
  <location ref="B8:I135" firstHeaderRow="0" firstDataRow="1" firstDataCol="2"/>
  <pivotFields count="32">
    <pivotField showAll="0"/>
    <pivotField showAll="0" defaultSubtotal="0"/>
    <pivotField axis="axisRow" showAll="0" sortType="ascending" defaultSubtota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m="1" x="115"/>
        <item m="1" x="116"/>
        <item x="114"/>
      </items>
    </pivotField>
    <pivotField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/>
    <pivotField showAll="0" defaultSubtotal="0"/>
    <pivotField showAll="0"/>
    <pivotField showAll="0"/>
    <pivotField showAll="0"/>
    <pivotField showAll="0"/>
    <pivotField showAll="0"/>
    <pivotField showAll="0" defaultSubtotal="0"/>
    <pivotField axis="axisRow" showAll="0" sortType="ascending">
      <items count="10">
        <item x="0"/>
        <item x="1"/>
        <item x="2"/>
        <item x="3"/>
        <item x="4"/>
        <item x="5"/>
        <item m="1" x="7"/>
        <item m="1" x="8"/>
        <item x="6"/>
        <item t="default"/>
      </items>
    </pivotField>
    <pivotField showAll="0"/>
    <pivotField showAll="0" defaultSubtotal="0"/>
    <pivotField axis="axisRow" compact="0" showAll="0" sortType="ascending">
      <items count="5">
        <item x="0"/>
        <item m="1" x="2"/>
        <item m="1" x="3"/>
        <item x="1"/>
        <item t="default"/>
      </items>
    </pivotField>
    <pivotField showAll="0"/>
    <pivotField showAll="0" defaultSubtotal="0"/>
    <pivotField showAll="0" defaultSubtotal="0"/>
    <pivotField showAll="0"/>
    <pivotField showAll="0" defaultSubtotal="0"/>
    <pivotField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18"/>
    <field x="21"/>
    <field x="2"/>
  </rowFields>
  <rowItems count="127">
    <i>
      <x/>
    </i>
    <i r="1">
      <x/>
    </i>
    <i r="2">
      <x/>
    </i>
    <i r="2">
      <x v="1"/>
    </i>
    <i r="2">
      <x v="2"/>
    </i>
    <i r="2">
      <x v="3"/>
    </i>
    <i>
      <x v="1"/>
    </i>
    <i r="1">
      <x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>
      <x v="2"/>
    </i>
    <i r="1">
      <x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>
      <x v="3"/>
    </i>
    <i r="1">
      <x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>
      <x v="4"/>
    </i>
    <i r="1">
      <x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>
      <x v="5"/>
    </i>
    <i r="1">
      <x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me de Montant débit antérieur" fld="4" baseField="0" baseItem="0" numFmtId="4"/>
    <dataField name="Somme de Montant crédit antérieur" fld="5" baseField="0" baseItem="0" numFmtId="4"/>
    <dataField name="Somme de Montant débit" fld="6" baseField="18" baseItem="0" numFmtId="4"/>
    <dataField name="Somme de Montant crédit" fld="7" baseField="18" baseItem="0" numFmtId="4"/>
    <dataField name="Somme de Affichage Solde débit" fld="30" baseField="0" baseItem="0" numFmtId="4"/>
    <dataField name="Somme de Affichage Solde crédit" fld="31" baseField="0" baseItem="0" numFmtId="4"/>
  </dataFields>
  <formats count="7">
    <format dxfId="13">
      <pivotArea outline="0" collapsedLevelsAreSubtotals="1" fieldPosition="0"/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dataOnly="0" labelOnly="1" grandRow="1" outline="0" fieldPosition="0"/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3"/>
          </reference>
        </references>
      </pivotArea>
    </format>
    <format dxfId="7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2 2" showRowHeaders="1" showColHeaders="1" showRowStripes="0" showColStripes="0" showLastColumn="1"/>
  <filters count="1">
    <filter fld="18" type="captionNotEqual" evalOrder="-1" id="6" stringValue1="">
      <autoFilter ref="A1">
        <filterColumn colId="0">
          <customFilters>
            <customFilter operator="notEqual" val=" 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5"/>
  <sheetViews>
    <sheetView showGridLines="0" tabSelected="1" zoomScaleNormal="100" workbookViewId="0"/>
  </sheetViews>
  <sheetFormatPr baseColWidth="10" defaultRowHeight="15" x14ac:dyDescent="0.25"/>
  <cols>
    <col min="1" max="1" width="3.28515625" customWidth="1"/>
    <col min="2" max="2" width="10.7109375" customWidth="1"/>
    <col min="3" max="3" width="30.7109375" customWidth="1"/>
    <col min="4" max="9" width="20.7109375" customWidth="1"/>
  </cols>
  <sheetData>
    <row r="1" spans="1:9" x14ac:dyDescent="0.25">
      <c r="I1" s="12" t="str">
        <f>CONCATENATE("Edité au : ",Donnees!F1)</f>
        <v>Edité au : 30/03/2026</v>
      </c>
    </row>
    <row r="2" spans="1:9" x14ac:dyDescent="0.25">
      <c r="E2" s="15" t="str">
        <f>CONCATENATE("Balance comptable du ",Donnees!I2," au ",Donnees!K2)</f>
        <v>Balance comptable du 01/2025 au 12/2025</v>
      </c>
      <c r="F2" s="15"/>
    </row>
    <row r="3" spans="1:9" x14ac:dyDescent="0.25">
      <c r="E3" s="9"/>
      <c r="F3" s="9"/>
    </row>
    <row r="4" spans="1:9" x14ac:dyDescent="0.25">
      <c r="C4" s="11" t="s">
        <v>46</v>
      </c>
      <c r="D4" s="10" t="str">
        <f>CONCATENATE(Donnees!B2," ",Donnees!C2)</f>
        <v>P03427 9710040S</v>
      </c>
      <c r="E4" s="9"/>
      <c r="F4" s="9"/>
    </row>
    <row r="5" spans="1:9" ht="15.75" thickBot="1" x14ac:dyDescent="0.3"/>
    <row r="6" spans="1:9" ht="15.75" thickBot="1" x14ac:dyDescent="0.3">
      <c r="A6" s="6"/>
      <c r="B6" s="18"/>
      <c r="C6" s="16" t="s">
        <v>2</v>
      </c>
      <c r="D6" s="13" t="s">
        <v>3</v>
      </c>
      <c r="E6" s="14"/>
      <c r="F6" s="13" t="s">
        <v>6</v>
      </c>
      <c r="G6" s="14"/>
      <c r="H6" s="13" t="s">
        <v>7</v>
      </c>
      <c r="I6" s="14"/>
    </row>
    <row r="7" spans="1:9" ht="15.75" thickBot="1" x14ac:dyDescent="0.3">
      <c r="A7" s="6"/>
      <c r="B7" s="19"/>
      <c r="C7" s="17"/>
      <c r="D7" s="3" t="s">
        <v>4</v>
      </c>
      <c r="E7" s="4" t="s">
        <v>5</v>
      </c>
      <c r="F7" s="3" t="s">
        <v>4</v>
      </c>
      <c r="G7" s="4" t="s">
        <v>5</v>
      </c>
      <c r="H7" s="4" t="s">
        <v>4</v>
      </c>
      <c r="I7" s="5" t="s">
        <v>5</v>
      </c>
    </row>
    <row r="8" spans="1:9" ht="15.75" hidden="1" thickBot="1" x14ac:dyDescent="0.3">
      <c r="A8" s="6"/>
      <c r="B8" s="2" t="s">
        <v>0</v>
      </c>
      <c r="C8" s="2" t="s">
        <v>9</v>
      </c>
      <c r="D8" t="s">
        <v>55</v>
      </c>
      <c r="E8" t="s">
        <v>56</v>
      </c>
      <c r="F8" t="s">
        <v>39</v>
      </c>
      <c r="G8" t="s">
        <v>40</v>
      </c>
      <c r="H8" t="s">
        <v>53</v>
      </c>
      <c r="I8" t="s">
        <v>54</v>
      </c>
    </row>
    <row r="9" spans="1:9" x14ac:dyDescent="0.25">
      <c r="A9" s="6"/>
      <c r="B9" s="20" t="s">
        <v>66</v>
      </c>
      <c r="D9" s="22">
        <v>21224.920000000002</v>
      </c>
      <c r="E9" s="23">
        <v>287155.28000000003</v>
      </c>
      <c r="F9" s="23">
        <v>5430.85</v>
      </c>
      <c r="G9" s="23">
        <v>72.02</v>
      </c>
      <c r="H9" s="23">
        <v>0</v>
      </c>
      <c r="I9" s="24">
        <v>260571.53</v>
      </c>
    </row>
    <row r="10" spans="1:9" x14ac:dyDescent="0.25">
      <c r="A10" s="6"/>
      <c r="B10" s="21" t="s">
        <v>67</v>
      </c>
      <c r="D10" s="25">
        <v>21224.920000000002</v>
      </c>
      <c r="E10" s="26">
        <v>287155.28000000003</v>
      </c>
      <c r="F10" s="26">
        <v>5430.85</v>
      </c>
      <c r="G10" s="26">
        <v>72.02</v>
      </c>
      <c r="H10" s="26">
        <v>0</v>
      </c>
      <c r="I10" s="27">
        <v>260571.53</v>
      </c>
    </row>
    <row r="11" spans="1:9" x14ac:dyDescent="0.25">
      <c r="C11" s="20" t="s">
        <v>59</v>
      </c>
      <c r="D11" s="25">
        <v>0</v>
      </c>
      <c r="E11" s="26">
        <v>260320.91</v>
      </c>
      <c r="F11" s="26">
        <v>72.02</v>
      </c>
      <c r="G11" s="26">
        <v>0</v>
      </c>
      <c r="H11" s="26">
        <v>0</v>
      </c>
      <c r="I11" s="27">
        <v>260248.89</v>
      </c>
    </row>
    <row r="12" spans="1:9" x14ac:dyDescent="0.25">
      <c r="C12" s="20" t="s">
        <v>78</v>
      </c>
      <c r="D12" s="25">
        <v>72.02</v>
      </c>
      <c r="E12" s="26">
        <v>0</v>
      </c>
      <c r="F12" s="26">
        <v>0</v>
      </c>
      <c r="G12" s="26">
        <v>72.02</v>
      </c>
      <c r="H12" s="26">
        <v>0</v>
      </c>
      <c r="I12" s="27">
        <v>0</v>
      </c>
    </row>
    <row r="13" spans="1:9" x14ac:dyDescent="0.25">
      <c r="C13" s="20" t="s">
        <v>83</v>
      </c>
      <c r="D13" s="25">
        <v>0</v>
      </c>
      <c r="E13" s="26">
        <v>26834.37</v>
      </c>
      <c r="F13" s="26">
        <v>0</v>
      </c>
      <c r="G13" s="26">
        <v>0</v>
      </c>
      <c r="H13" s="26">
        <v>0</v>
      </c>
      <c r="I13" s="27">
        <v>26834.37</v>
      </c>
    </row>
    <row r="14" spans="1:9" x14ac:dyDescent="0.25">
      <c r="C14" s="20" t="s">
        <v>88</v>
      </c>
      <c r="D14" s="25">
        <v>21152.9</v>
      </c>
      <c r="E14" s="26">
        <v>0</v>
      </c>
      <c r="F14" s="26">
        <v>5358.83</v>
      </c>
      <c r="G14" s="26">
        <v>0</v>
      </c>
      <c r="H14" s="26">
        <v>26511.73</v>
      </c>
      <c r="I14" s="27">
        <v>0</v>
      </c>
    </row>
    <row r="15" spans="1:9" x14ac:dyDescent="0.25">
      <c r="B15" s="20" t="s">
        <v>95</v>
      </c>
      <c r="D15" s="25">
        <v>56987.5</v>
      </c>
      <c r="E15" s="26">
        <v>45313.139999999992</v>
      </c>
      <c r="F15" s="26">
        <v>0</v>
      </c>
      <c r="G15" s="26">
        <v>7094.25</v>
      </c>
      <c r="H15" s="26">
        <v>4580.1100000000006</v>
      </c>
      <c r="I15" s="27">
        <v>0</v>
      </c>
    </row>
    <row r="16" spans="1:9" x14ac:dyDescent="0.25">
      <c r="B16" s="21" t="s">
        <v>67</v>
      </c>
      <c r="D16" s="25">
        <v>56987.5</v>
      </c>
      <c r="E16" s="26">
        <v>45313.139999999992</v>
      </c>
      <c r="F16" s="26">
        <v>0</v>
      </c>
      <c r="G16" s="26">
        <v>7094.25</v>
      </c>
      <c r="H16" s="26">
        <v>4580.1100000000006</v>
      </c>
      <c r="I16" s="27">
        <v>0</v>
      </c>
    </row>
    <row r="17" spans="2:9" x14ac:dyDescent="0.25">
      <c r="C17" s="20" t="s">
        <v>91</v>
      </c>
      <c r="D17" s="25">
        <v>4002.32</v>
      </c>
      <c r="E17" s="26">
        <v>0</v>
      </c>
      <c r="F17" s="26">
        <v>0</v>
      </c>
      <c r="G17" s="26">
        <v>0</v>
      </c>
      <c r="H17" s="26">
        <v>4002.32</v>
      </c>
      <c r="I17" s="27">
        <v>0</v>
      </c>
    </row>
    <row r="18" spans="2:9" x14ac:dyDescent="0.25">
      <c r="C18" s="20" t="s">
        <v>98</v>
      </c>
      <c r="D18" s="25">
        <v>18582.22</v>
      </c>
      <c r="E18" s="26">
        <v>0</v>
      </c>
      <c r="F18" s="26">
        <v>0</v>
      </c>
      <c r="G18" s="26">
        <v>0</v>
      </c>
      <c r="H18" s="26">
        <v>18582.22</v>
      </c>
      <c r="I18" s="27">
        <v>0</v>
      </c>
    </row>
    <row r="19" spans="2:9" x14ac:dyDescent="0.25">
      <c r="C19" s="20" t="s">
        <v>102</v>
      </c>
      <c r="D19" s="25">
        <v>16669.41</v>
      </c>
      <c r="E19" s="26">
        <v>0</v>
      </c>
      <c r="F19" s="26">
        <v>0</v>
      </c>
      <c r="G19" s="26">
        <v>0</v>
      </c>
      <c r="H19" s="26">
        <v>16669.41</v>
      </c>
      <c r="I19" s="27">
        <v>0</v>
      </c>
    </row>
    <row r="20" spans="2:9" x14ac:dyDescent="0.25">
      <c r="C20" s="20" t="s">
        <v>106</v>
      </c>
      <c r="D20" s="25">
        <v>12666.96</v>
      </c>
      <c r="E20" s="26">
        <v>0</v>
      </c>
      <c r="F20" s="26">
        <v>0</v>
      </c>
      <c r="G20" s="26">
        <v>0</v>
      </c>
      <c r="H20" s="26">
        <v>12666.96</v>
      </c>
      <c r="I20" s="27">
        <v>0</v>
      </c>
    </row>
    <row r="21" spans="2:9" x14ac:dyDescent="0.25">
      <c r="C21" s="20" t="s">
        <v>110</v>
      </c>
      <c r="D21" s="25">
        <v>3734.59</v>
      </c>
      <c r="E21" s="26">
        <v>0</v>
      </c>
      <c r="F21" s="26">
        <v>0</v>
      </c>
      <c r="G21" s="26">
        <v>0</v>
      </c>
      <c r="H21" s="26">
        <v>3734.59</v>
      </c>
      <c r="I21" s="27">
        <v>0</v>
      </c>
    </row>
    <row r="22" spans="2:9" x14ac:dyDescent="0.25">
      <c r="C22" s="20" t="s">
        <v>113</v>
      </c>
      <c r="D22" s="25">
        <v>1332</v>
      </c>
      <c r="E22" s="26">
        <v>0</v>
      </c>
      <c r="F22" s="26">
        <v>0</v>
      </c>
      <c r="G22" s="26">
        <v>0</v>
      </c>
      <c r="H22" s="26">
        <v>1332</v>
      </c>
      <c r="I22" s="27">
        <v>0</v>
      </c>
    </row>
    <row r="23" spans="2:9" x14ac:dyDescent="0.25">
      <c r="C23" s="20" t="s">
        <v>116</v>
      </c>
      <c r="D23" s="25">
        <v>0</v>
      </c>
      <c r="E23" s="26">
        <v>3201.85</v>
      </c>
      <c r="F23" s="26">
        <v>0</v>
      </c>
      <c r="G23" s="26">
        <v>800.47</v>
      </c>
      <c r="H23" s="26">
        <v>0</v>
      </c>
      <c r="I23" s="27">
        <v>4002.32</v>
      </c>
    </row>
    <row r="24" spans="2:9" x14ac:dyDescent="0.25">
      <c r="C24" s="20" t="s">
        <v>121</v>
      </c>
      <c r="D24" s="25">
        <v>0</v>
      </c>
      <c r="E24" s="26">
        <v>14865.77</v>
      </c>
      <c r="F24" s="26">
        <v>0</v>
      </c>
      <c r="G24" s="26">
        <v>3716.45</v>
      </c>
      <c r="H24" s="26">
        <v>0</v>
      </c>
      <c r="I24" s="27">
        <v>18582.22</v>
      </c>
    </row>
    <row r="25" spans="2:9" x14ac:dyDescent="0.25">
      <c r="C25" s="20" t="s">
        <v>124</v>
      </c>
      <c r="D25" s="25">
        <v>0</v>
      </c>
      <c r="E25" s="26">
        <v>10637.04</v>
      </c>
      <c r="F25" s="26">
        <v>0</v>
      </c>
      <c r="G25" s="26">
        <v>1838.47</v>
      </c>
      <c r="H25" s="26">
        <v>0</v>
      </c>
      <c r="I25" s="27">
        <v>12475.51</v>
      </c>
    </row>
    <row r="26" spans="2:9" x14ac:dyDescent="0.25">
      <c r="C26" s="20" t="s">
        <v>127</v>
      </c>
      <c r="D26" s="25">
        <v>0</v>
      </c>
      <c r="E26" s="26">
        <v>12666.96</v>
      </c>
      <c r="F26" s="26">
        <v>0</v>
      </c>
      <c r="G26" s="26">
        <v>0</v>
      </c>
      <c r="H26" s="26">
        <v>0</v>
      </c>
      <c r="I26" s="27">
        <v>12666.96</v>
      </c>
    </row>
    <row r="27" spans="2:9" x14ac:dyDescent="0.25">
      <c r="C27" s="20" t="s">
        <v>130</v>
      </c>
      <c r="D27" s="25">
        <v>0</v>
      </c>
      <c r="E27" s="26">
        <v>2609.52</v>
      </c>
      <c r="F27" s="26">
        <v>0</v>
      </c>
      <c r="G27" s="26">
        <v>738.86</v>
      </c>
      <c r="H27" s="26">
        <v>0</v>
      </c>
      <c r="I27" s="27">
        <v>3348.38</v>
      </c>
    </row>
    <row r="28" spans="2:9" x14ac:dyDescent="0.25">
      <c r="C28" s="20" t="s">
        <v>133</v>
      </c>
      <c r="D28" s="25">
        <v>0</v>
      </c>
      <c r="E28" s="26">
        <v>1332</v>
      </c>
      <c r="F28" s="26">
        <v>0</v>
      </c>
      <c r="G28" s="26">
        <v>0</v>
      </c>
      <c r="H28" s="26">
        <v>0</v>
      </c>
      <c r="I28" s="27">
        <v>1332</v>
      </c>
    </row>
    <row r="29" spans="2:9" x14ac:dyDescent="0.25">
      <c r="B29" s="20" t="s">
        <v>140</v>
      </c>
      <c r="D29" s="25">
        <v>546450.63</v>
      </c>
      <c r="E29" s="26">
        <v>739065.12999999989</v>
      </c>
      <c r="F29" s="26">
        <v>2585332</v>
      </c>
      <c r="G29" s="26">
        <v>2731625.55</v>
      </c>
      <c r="H29" s="26">
        <v>0</v>
      </c>
      <c r="I29" s="27">
        <v>338908.05000000005</v>
      </c>
    </row>
    <row r="30" spans="2:9" x14ac:dyDescent="0.25">
      <c r="B30" s="21" t="s">
        <v>67</v>
      </c>
      <c r="D30" s="25">
        <v>546450.63</v>
      </c>
      <c r="E30" s="26">
        <v>739065.12999999989</v>
      </c>
      <c r="F30" s="26">
        <v>2585332</v>
      </c>
      <c r="G30" s="26">
        <v>2731625.55</v>
      </c>
      <c r="H30" s="26">
        <v>0</v>
      </c>
      <c r="I30" s="27">
        <v>338908.05000000005</v>
      </c>
    </row>
    <row r="31" spans="2:9" x14ac:dyDescent="0.25">
      <c r="C31" s="20" t="s">
        <v>136</v>
      </c>
      <c r="D31" s="25">
        <v>0</v>
      </c>
      <c r="E31" s="26">
        <v>53947.5</v>
      </c>
      <c r="F31" s="26">
        <v>394606.96</v>
      </c>
      <c r="G31" s="26">
        <v>426523.87</v>
      </c>
      <c r="H31" s="26">
        <v>0</v>
      </c>
      <c r="I31" s="27">
        <v>85864.41</v>
      </c>
    </row>
    <row r="32" spans="2:9" x14ac:dyDescent="0.25">
      <c r="C32" s="20" t="s">
        <v>143</v>
      </c>
      <c r="D32" s="25">
        <v>0</v>
      </c>
      <c r="E32" s="26">
        <v>0</v>
      </c>
      <c r="F32" s="26">
        <v>0</v>
      </c>
      <c r="G32" s="26">
        <v>19329.61</v>
      </c>
      <c r="H32" s="26">
        <v>0</v>
      </c>
      <c r="I32" s="27">
        <v>19329.61</v>
      </c>
    </row>
    <row r="33" spans="3:9" x14ac:dyDescent="0.25">
      <c r="C33" s="20" t="s">
        <v>147</v>
      </c>
      <c r="D33" s="25">
        <v>1506.08</v>
      </c>
      <c r="E33" s="26">
        <v>0</v>
      </c>
      <c r="F33" s="26">
        <v>1009.9</v>
      </c>
      <c r="G33" s="26">
        <v>0</v>
      </c>
      <c r="H33" s="26">
        <v>2515.98</v>
      </c>
      <c r="I33" s="27">
        <v>0</v>
      </c>
    </row>
    <row r="34" spans="3:9" x14ac:dyDescent="0.25">
      <c r="C34" s="20" t="s">
        <v>151</v>
      </c>
      <c r="D34" s="25">
        <v>15979.67</v>
      </c>
      <c r="E34" s="26">
        <v>0</v>
      </c>
      <c r="F34" s="26">
        <v>290309.07</v>
      </c>
      <c r="G34" s="26">
        <v>272303.49</v>
      </c>
      <c r="H34" s="26">
        <v>33985.25</v>
      </c>
      <c r="I34" s="27">
        <v>0</v>
      </c>
    </row>
    <row r="35" spans="3:9" x14ac:dyDescent="0.25">
      <c r="C35" s="20" t="s">
        <v>156</v>
      </c>
      <c r="D35" s="25">
        <v>0</v>
      </c>
      <c r="E35" s="26">
        <v>4.3</v>
      </c>
      <c r="F35" s="26">
        <v>1839.75</v>
      </c>
      <c r="G35" s="26">
        <v>1839.75</v>
      </c>
      <c r="H35" s="26">
        <v>0</v>
      </c>
      <c r="I35" s="27">
        <v>4.3</v>
      </c>
    </row>
    <row r="36" spans="3:9" x14ac:dyDescent="0.25">
      <c r="C36" s="20" t="s">
        <v>159</v>
      </c>
      <c r="D36" s="25">
        <v>8479.19</v>
      </c>
      <c r="E36" s="26">
        <v>0</v>
      </c>
      <c r="F36" s="26">
        <v>3400</v>
      </c>
      <c r="G36" s="26">
        <v>4726</v>
      </c>
      <c r="H36" s="26">
        <v>7153.19</v>
      </c>
      <c r="I36" s="27">
        <v>0</v>
      </c>
    </row>
    <row r="37" spans="3:9" x14ac:dyDescent="0.25">
      <c r="C37" s="20" t="s">
        <v>163</v>
      </c>
      <c r="D37" s="25">
        <v>847.5</v>
      </c>
      <c r="E37" s="26">
        <v>0</v>
      </c>
      <c r="F37" s="26">
        <v>1221.3</v>
      </c>
      <c r="G37" s="26">
        <v>1233.6600000000001</v>
      </c>
      <c r="H37" s="26">
        <v>835.14</v>
      </c>
      <c r="I37" s="27">
        <v>0</v>
      </c>
    </row>
    <row r="38" spans="3:9" x14ac:dyDescent="0.25">
      <c r="C38" s="20" t="s">
        <v>167</v>
      </c>
      <c r="D38" s="25">
        <v>0</v>
      </c>
      <c r="E38" s="26">
        <v>44.9</v>
      </c>
      <c r="F38" s="26">
        <v>72.8</v>
      </c>
      <c r="G38" s="26">
        <v>66.400000000000006</v>
      </c>
      <c r="H38" s="26">
        <v>0</v>
      </c>
      <c r="I38" s="27">
        <v>38.5</v>
      </c>
    </row>
    <row r="39" spans="3:9" x14ac:dyDescent="0.25">
      <c r="C39" s="20" t="s">
        <v>171</v>
      </c>
      <c r="D39" s="25">
        <v>0</v>
      </c>
      <c r="E39" s="26">
        <v>408210.72</v>
      </c>
      <c r="F39" s="26">
        <v>408210.72</v>
      </c>
      <c r="G39" s="26">
        <v>0</v>
      </c>
      <c r="H39" s="26">
        <v>0</v>
      </c>
      <c r="I39" s="27">
        <v>0</v>
      </c>
    </row>
    <row r="40" spans="3:9" x14ac:dyDescent="0.25">
      <c r="C40" s="20" t="s">
        <v>176</v>
      </c>
      <c r="D40" s="25">
        <v>0</v>
      </c>
      <c r="E40" s="26">
        <v>0</v>
      </c>
      <c r="F40" s="26">
        <v>138328.6</v>
      </c>
      <c r="G40" s="26">
        <v>141918.6</v>
      </c>
      <c r="H40" s="26">
        <v>0</v>
      </c>
      <c r="I40" s="27">
        <v>3590</v>
      </c>
    </row>
    <row r="41" spans="3:9" x14ac:dyDescent="0.25">
      <c r="C41" s="20" t="s">
        <v>181</v>
      </c>
      <c r="D41" s="25">
        <v>17678.61</v>
      </c>
      <c r="E41" s="26">
        <v>0</v>
      </c>
      <c r="F41" s="26">
        <v>20088.63</v>
      </c>
      <c r="G41" s="26">
        <v>35152.1</v>
      </c>
      <c r="H41" s="26">
        <v>2615.14</v>
      </c>
      <c r="I41" s="27">
        <v>0</v>
      </c>
    </row>
    <row r="42" spans="3:9" x14ac:dyDescent="0.25">
      <c r="C42" s="20" t="s">
        <v>184</v>
      </c>
      <c r="D42" s="25">
        <v>408210.72</v>
      </c>
      <c r="E42" s="26">
        <v>0</v>
      </c>
      <c r="F42" s="26">
        <v>353467.61</v>
      </c>
      <c r="G42" s="26">
        <v>761678.33</v>
      </c>
      <c r="H42" s="26">
        <v>0</v>
      </c>
      <c r="I42" s="27">
        <v>0</v>
      </c>
    </row>
    <row r="43" spans="3:9" x14ac:dyDescent="0.25">
      <c r="C43" s="20" t="s">
        <v>187</v>
      </c>
      <c r="D43" s="25">
        <v>0</v>
      </c>
      <c r="E43" s="26">
        <v>14248.39</v>
      </c>
      <c r="F43" s="26">
        <v>17774.78</v>
      </c>
      <c r="G43" s="26">
        <v>5910.31</v>
      </c>
      <c r="H43" s="26">
        <v>0</v>
      </c>
      <c r="I43" s="27">
        <v>2383.92</v>
      </c>
    </row>
    <row r="44" spans="3:9" x14ac:dyDescent="0.25">
      <c r="C44" s="20" t="s">
        <v>190</v>
      </c>
      <c r="D44" s="25">
        <v>2310</v>
      </c>
      <c r="E44" s="26">
        <v>0</v>
      </c>
      <c r="F44" s="26">
        <v>3590.7</v>
      </c>
      <c r="G44" s="26">
        <v>0</v>
      </c>
      <c r="H44" s="26">
        <v>5900.7</v>
      </c>
      <c r="I44" s="27">
        <v>0</v>
      </c>
    </row>
    <row r="45" spans="3:9" x14ac:dyDescent="0.25">
      <c r="C45" s="20" t="s">
        <v>193</v>
      </c>
      <c r="D45" s="25">
        <v>0</v>
      </c>
      <c r="E45" s="26">
        <v>3776</v>
      </c>
      <c r="F45" s="26">
        <v>401716</v>
      </c>
      <c r="G45" s="26">
        <v>401716.2</v>
      </c>
      <c r="H45" s="26">
        <v>0</v>
      </c>
      <c r="I45" s="27">
        <v>3776.2</v>
      </c>
    </row>
    <row r="46" spans="3:9" x14ac:dyDescent="0.25">
      <c r="C46" s="20" t="s">
        <v>196</v>
      </c>
      <c r="D46" s="25">
        <v>0</v>
      </c>
      <c r="E46" s="26">
        <v>3500</v>
      </c>
      <c r="F46" s="26">
        <v>0</v>
      </c>
      <c r="G46" s="26">
        <v>0</v>
      </c>
      <c r="H46" s="26">
        <v>0</v>
      </c>
      <c r="I46" s="27">
        <v>3500</v>
      </c>
    </row>
    <row r="47" spans="3:9" x14ac:dyDescent="0.25">
      <c r="C47" s="20" t="s">
        <v>199</v>
      </c>
      <c r="D47" s="25">
        <v>14001.09</v>
      </c>
      <c r="E47" s="26">
        <v>0</v>
      </c>
      <c r="F47" s="26">
        <v>52710.23</v>
      </c>
      <c r="G47" s="26">
        <v>45974</v>
      </c>
      <c r="H47" s="26">
        <v>20737.32</v>
      </c>
      <c r="I47" s="27">
        <v>0</v>
      </c>
    </row>
    <row r="48" spans="3:9" x14ac:dyDescent="0.25">
      <c r="C48" s="20" t="s">
        <v>202</v>
      </c>
      <c r="D48" s="25">
        <v>0</v>
      </c>
      <c r="E48" s="26">
        <v>0</v>
      </c>
      <c r="F48" s="26">
        <v>25797.200000000001</v>
      </c>
      <c r="G48" s="26">
        <v>64486.400000000001</v>
      </c>
      <c r="H48" s="26">
        <v>0</v>
      </c>
      <c r="I48" s="27">
        <v>38689.199999999997</v>
      </c>
    </row>
    <row r="49" spans="3:9" x14ac:dyDescent="0.25">
      <c r="C49" s="20" t="s">
        <v>205</v>
      </c>
      <c r="D49" s="25">
        <v>0</v>
      </c>
      <c r="E49" s="26">
        <v>0</v>
      </c>
      <c r="F49" s="26">
        <v>0</v>
      </c>
      <c r="G49" s="26">
        <v>72844.94</v>
      </c>
      <c r="H49" s="26">
        <v>0</v>
      </c>
      <c r="I49" s="27">
        <v>72844.94</v>
      </c>
    </row>
    <row r="50" spans="3:9" x14ac:dyDescent="0.25">
      <c r="C50" s="20" t="s">
        <v>208</v>
      </c>
      <c r="D50" s="25">
        <v>46845.16</v>
      </c>
      <c r="E50" s="26">
        <v>0</v>
      </c>
      <c r="F50" s="26">
        <v>64264.5</v>
      </c>
      <c r="G50" s="26">
        <v>60773.4</v>
      </c>
      <c r="H50" s="26">
        <v>50336.26</v>
      </c>
      <c r="I50" s="27">
        <v>0</v>
      </c>
    </row>
    <row r="51" spans="3:9" x14ac:dyDescent="0.25">
      <c r="C51" s="20" t="s">
        <v>211</v>
      </c>
      <c r="D51" s="25">
        <v>0</v>
      </c>
      <c r="E51" s="26">
        <v>15385.35</v>
      </c>
      <c r="F51" s="26">
        <v>0</v>
      </c>
      <c r="G51" s="26">
        <v>0</v>
      </c>
      <c r="H51" s="26">
        <v>0</v>
      </c>
      <c r="I51" s="27">
        <v>15385.35</v>
      </c>
    </row>
    <row r="52" spans="3:9" x14ac:dyDescent="0.25">
      <c r="C52" s="20" t="s">
        <v>214</v>
      </c>
      <c r="D52" s="25">
        <v>0</v>
      </c>
      <c r="E52" s="26">
        <v>16502.86</v>
      </c>
      <c r="F52" s="26">
        <v>0</v>
      </c>
      <c r="G52" s="26">
        <v>0</v>
      </c>
      <c r="H52" s="26">
        <v>0</v>
      </c>
      <c r="I52" s="27">
        <v>16502.86</v>
      </c>
    </row>
    <row r="53" spans="3:9" x14ac:dyDescent="0.25">
      <c r="C53" s="20" t="s">
        <v>217</v>
      </c>
      <c r="D53" s="25">
        <v>0</v>
      </c>
      <c r="E53" s="26">
        <v>32116.01</v>
      </c>
      <c r="F53" s="26">
        <v>0</v>
      </c>
      <c r="G53" s="26">
        <v>0</v>
      </c>
      <c r="H53" s="26">
        <v>0</v>
      </c>
      <c r="I53" s="27">
        <v>32116.01</v>
      </c>
    </row>
    <row r="54" spans="3:9" x14ac:dyDescent="0.25">
      <c r="C54" s="20" t="s">
        <v>220</v>
      </c>
      <c r="D54" s="25">
        <v>0</v>
      </c>
      <c r="E54" s="26">
        <v>9532.27</v>
      </c>
      <c r="F54" s="26">
        <v>0</v>
      </c>
      <c r="G54" s="26">
        <v>0</v>
      </c>
      <c r="H54" s="26">
        <v>0</v>
      </c>
      <c r="I54" s="27">
        <v>9532.27</v>
      </c>
    </row>
    <row r="55" spans="3:9" x14ac:dyDescent="0.25">
      <c r="C55" s="20" t="s">
        <v>223</v>
      </c>
      <c r="D55" s="25">
        <v>0</v>
      </c>
      <c r="E55" s="26">
        <v>17946.89</v>
      </c>
      <c r="F55" s="26">
        <v>0</v>
      </c>
      <c r="G55" s="26">
        <v>0</v>
      </c>
      <c r="H55" s="26">
        <v>0</v>
      </c>
      <c r="I55" s="27">
        <v>17946.89</v>
      </c>
    </row>
    <row r="56" spans="3:9" x14ac:dyDescent="0.25">
      <c r="C56" s="20" t="s">
        <v>226</v>
      </c>
      <c r="D56" s="25">
        <v>0</v>
      </c>
      <c r="E56" s="26">
        <v>10304</v>
      </c>
      <c r="F56" s="26">
        <v>0</v>
      </c>
      <c r="G56" s="26">
        <v>0</v>
      </c>
      <c r="H56" s="26">
        <v>0</v>
      </c>
      <c r="I56" s="27">
        <v>10304</v>
      </c>
    </row>
    <row r="57" spans="3:9" x14ac:dyDescent="0.25">
      <c r="C57" s="20" t="s">
        <v>229</v>
      </c>
      <c r="D57" s="25">
        <v>0</v>
      </c>
      <c r="E57" s="26">
        <v>50945.440000000002</v>
      </c>
      <c r="F57" s="26">
        <v>0</v>
      </c>
      <c r="G57" s="26">
        <v>0</v>
      </c>
      <c r="H57" s="26">
        <v>0</v>
      </c>
      <c r="I57" s="27">
        <v>50945.440000000002</v>
      </c>
    </row>
    <row r="58" spans="3:9" x14ac:dyDescent="0.25">
      <c r="C58" s="20" t="s">
        <v>232</v>
      </c>
      <c r="D58" s="25">
        <v>30592.61</v>
      </c>
      <c r="E58" s="26">
        <v>0</v>
      </c>
      <c r="F58" s="26">
        <v>152514</v>
      </c>
      <c r="G58" s="26">
        <v>151441</v>
      </c>
      <c r="H58" s="26">
        <v>31665.61</v>
      </c>
      <c r="I58" s="27">
        <v>0</v>
      </c>
    </row>
    <row r="59" spans="3:9" x14ac:dyDescent="0.25">
      <c r="C59" s="20" t="s">
        <v>236</v>
      </c>
      <c r="D59" s="25">
        <v>0</v>
      </c>
      <c r="E59" s="26">
        <v>207</v>
      </c>
      <c r="F59" s="26">
        <v>425.4</v>
      </c>
      <c r="G59" s="26">
        <v>218.4</v>
      </c>
      <c r="H59" s="26">
        <v>0</v>
      </c>
      <c r="I59" s="27">
        <v>0</v>
      </c>
    </row>
    <row r="60" spans="3:9" x14ac:dyDescent="0.25">
      <c r="C60" s="20" t="s">
        <v>241</v>
      </c>
      <c r="D60" s="25">
        <v>0</v>
      </c>
      <c r="E60" s="26">
        <v>3300.12</v>
      </c>
      <c r="F60" s="26">
        <v>2403.06</v>
      </c>
      <c r="G60" s="26">
        <v>2874.26</v>
      </c>
      <c r="H60" s="26">
        <v>0</v>
      </c>
      <c r="I60" s="27">
        <v>3771.32</v>
      </c>
    </row>
    <row r="61" spans="3:9" x14ac:dyDescent="0.25">
      <c r="C61" s="20" t="s">
        <v>244</v>
      </c>
      <c r="D61" s="25">
        <v>0</v>
      </c>
      <c r="E61" s="26">
        <v>88776.88</v>
      </c>
      <c r="F61" s="26">
        <v>267.3</v>
      </c>
      <c r="G61" s="26">
        <v>267.3</v>
      </c>
      <c r="H61" s="26">
        <v>0</v>
      </c>
      <c r="I61" s="27">
        <v>88776.88</v>
      </c>
    </row>
    <row r="62" spans="3:9" x14ac:dyDescent="0.25">
      <c r="C62" s="20" t="s">
        <v>247</v>
      </c>
      <c r="D62" s="25">
        <v>0</v>
      </c>
      <c r="E62" s="26">
        <v>4452</v>
      </c>
      <c r="F62" s="26">
        <v>116388.96</v>
      </c>
      <c r="G62" s="26">
        <v>141083.66</v>
      </c>
      <c r="H62" s="26">
        <v>0</v>
      </c>
      <c r="I62" s="27">
        <v>29146.7</v>
      </c>
    </row>
    <row r="63" spans="3:9" x14ac:dyDescent="0.25">
      <c r="C63" s="20" t="s">
        <v>250</v>
      </c>
      <c r="D63" s="25">
        <v>0</v>
      </c>
      <c r="E63" s="26">
        <v>0</v>
      </c>
      <c r="F63" s="26">
        <v>15660.66</v>
      </c>
      <c r="G63" s="26">
        <v>0</v>
      </c>
      <c r="H63" s="26">
        <v>15660.66</v>
      </c>
      <c r="I63" s="27">
        <v>0</v>
      </c>
    </row>
    <row r="64" spans="3:9" x14ac:dyDescent="0.25">
      <c r="C64" s="20" t="s">
        <v>254</v>
      </c>
      <c r="D64" s="25">
        <v>0</v>
      </c>
      <c r="E64" s="26">
        <v>4686.3</v>
      </c>
      <c r="F64" s="26">
        <v>0</v>
      </c>
      <c r="G64" s="26">
        <v>0</v>
      </c>
      <c r="H64" s="26">
        <v>0</v>
      </c>
      <c r="I64" s="27">
        <v>4686.3</v>
      </c>
    </row>
    <row r="65" spans="2:9" x14ac:dyDescent="0.25">
      <c r="C65" s="20" t="s">
        <v>258</v>
      </c>
      <c r="D65" s="25">
        <v>0</v>
      </c>
      <c r="E65" s="26">
        <v>1178.2</v>
      </c>
      <c r="F65" s="26">
        <v>0</v>
      </c>
      <c r="G65" s="26">
        <v>0</v>
      </c>
      <c r="H65" s="26">
        <v>0</v>
      </c>
      <c r="I65" s="27">
        <v>1178.2</v>
      </c>
    </row>
    <row r="66" spans="2:9" x14ac:dyDescent="0.25">
      <c r="C66" s="20" t="s">
        <v>263</v>
      </c>
      <c r="D66" s="25">
        <v>0</v>
      </c>
      <c r="E66" s="26">
        <v>0</v>
      </c>
      <c r="F66" s="26">
        <v>354.75</v>
      </c>
      <c r="G66" s="26">
        <v>354.75</v>
      </c>
      <c r="H66" s="26">
        <v>0</v>
      </c>
      <c r="I66" s="27">
        <v>0</v>
      </c>
    </row>
    <row r="67" spans="2:9" x14ac:dyDescent="0.25">
      <c r="C67" s="20" t="s">
        <v>267</v>
      </c>
      <c r="D67" s="25">
        <v>0</v>
      </c>
      <c r="E67" s="26">
        <v>0</v>
      </c>
      <c r="F67" s="26">
        <v>118909.12</v>
      </c>
      <c r="G67" s="26">
        <v>118909.12</v>
      </c>
      <c r="H67" s="26">
        <v>0</v>
      </c>
      <c r="I67" s="27">
        <v>0</v>
      </c>
    </row>
    <row r="68" spans="2:9" x14ac:dyDescent="0.25">
      <c r="B68" s="20" t="s">
        <v>274</v>
      </c>
      <c r="D68" s="25">
        <v>508417.74</v>
      </c>
      <c r="E68" s="26">
        <v>61547.24</v>
      </c>
      <c r="F68" s="26">
        <v>1704019.9399999997</v>
      </c>
      <c r="G68" s="26">
        <v>1573220.23</v>
      </c>
      <c r="H68" s="26">
        <v>577670.21000000008</v>
      </c>
      <c r="I68" s="27">
        <v>0</v>
      </c>
    </row>
    <row r="69" spans="2:9" x14ac:dyDescent="0.25">
      <c r="B69" s="21" t="s">
        <v>67</v>
      </c>
      <c r="D69" s="25">
        <v>508417.74</v>
      </c>
      <c r="E69" s="26">
        <v>61547.24</v>
      </c>
      <c r="F69" s="26">
        <v>1704019.9399999997</v>
      </c>
      <c r="G69" s="26">
        <v>1573220.23</v>
      </c>
      <c r="H69" s="26">
        <v>577670.21000000008</v>
      </c>
      <c r="I69" s="27">
        <v>0</v>
      </c>
    </row>
    <row r="70" spans="2:9" x14ac:dyDescent="0.25">
      <c r="C70" s="20" t="s">
        <v>270</v>
      </c>
      <c r="D70" s="25">
        <v>661.16</v>
      </c>
      <c r="E70" s="26">
        <v>0</v>
      </c>
      <c r="F70" s="26">
        <v>15288.67</v>
      </c>
      <c r="G70" s="26">
        <v>13312.57</v>
      </c>
      <c r="H70" s="26">
        <v>2637.26</v>
      </c>
      <c r="I70" s="27">
        <v>0</v>
      </c>
    </row>
    <row r="71" spans="2:9" x14ac:dyDescent="0.25">
      <c r="C71" s="20" t="s">
        <v>277</v>
      </c>
      <c r="D71" s="25">
        <v>0</v>
      </c>
      <c r="E71" s="26">
        <v>387.1</v>
      </c>
      <c r="F71" s="26">
        <v>50597.66</v>
      </c>
      <c r="G71" s="26">
        <v>50461.86</v>
      </c>
      <c r="H71" s="26">
        <v>0</v>
      </c>
      <c r="I71" s="27">
        <v>251.3</v>
      </c>
    </row>
    <row r="72" spans="2:9" x14ac:dyDescent="0.25">
      <c r="C72" s="20" t="s">
        <v>280</v>
      </c>
      <c r="D72" s="25">
        <v>3082.94</v>
      </c>
      <c r="E72" s="26">
        <v>0</v>
      </c>
      <c r="F72" s="26">
        <v>66.400000000000006</v>
      </c>
      <c r="G72" s="26">
        <v>163.19999999999999</v>
      </c>
      <c r="H72" s="26">
        <v>2986.14</v>
      </c>
      <c r="I72" s="27">
        <v>0</v>
      </c>
    </row>
    <row r="73" spans="2:9" x14ac:dyDescent="0.25">
      <c r="C73" s="20" t="s">
        <v>283</v>
      </c>
      <c r="D73" s="25">
        <v>442495.06</v>
      </c>
      <c r="E73" s="26">
        <v>0</v>
      </c>
      <c r="F73" s="26">
        <v>1099117.74</v>
      </c>
      <c r="G73" s="26">
        <v>980328.04</v>
      </c>
      <c r="H73" s="26">
        <v>561284.76</v>
      </c>
      <c r="I73" s="27">
        <v>0</v>
      </c>
    </row>
    <row r="74" spans="2:9" x14ac:dyDescent="0.25">
      <c r="C74" s="20" t="s">
        <v>287</v>
      </c>
      <c r="D74" s="25">
        <v>0</v>
      </c>
      <c r="E74" s="26">
        <v>61160.14</v>
      </c>
      <c r="F74" s="26">
        <v>518919.89</v>
      </c>
      <c r="G74" s="26">
        <v>513626.28</v>
      </c>
      <c r="H74" s="26">
        <v>0</v>
      </c>
      <c r="I74" s="27">
        <v>55866.53</v>
      </c>
    </row>
    <row r="75" spans="2:9" x14ac:dyDescent="0.25">
      <c r="C75" s="20" t="s">
        <v>290</v>
      </c>
      <c r="D75" s="25">
        <v>1357.89</v>
      </c>
      <c r="E75" s="26">
        <v>0</v>
      </c>
      <c r="F75" s="26">
        <v>13843.88</v>
      </c>
      <c r="G75" s="26">
        <v>9173.3799999999992</v>
      </c>
      <c r="H75" s="26">
        <v>6028.39</v>
      </c>
      <c r="I75" s="27">
        <v>0</v>
      </c>
    </row>
    <row r="76" spans="2:9" x14ac:dyDescent="0.25">
      <c r="C76" s="20" t="s">
        <v>295</v>
      </c>
      <c r="D76" s="25">
        <v>60820.69</v>
      </c>
      <c r="E76" s="26">
        <v>0</v>
      </c>
      <c r="F76" s="26">
        <v>6185.7</v>
      </c>
      <c r="G76" s="26">
        <v>6154.9</v>
      </c>
      <c r="H76" s="26">
        <v>60851.49</v>
      </c>
      <c r="I76" s="27">
        <v>0</v>
      </c>
    </row>
    <row r="77" spans="2:9" x14ac:dyDescent="0.25">
      <c r="B77" s="20" t="s">
        <v>304</v>
      </c>
      <c r="D77" s="25">
        <v>0</v>
      </c>
      <c r="E77" s="26">
        <v>0</v>
      </c>
      <c r="F77" s="26">
        <v>811505.84</v>
      </c>
      <c r="G77" s="26">
        <v>1009.9000000000001</v>
      </c>
      <c r="H77" s="26">
        <v>810495.94000000006</v>
      </c>
      <c r="I77" s="27">
        <v>0</v>
      </c>
    </row>
    <row r="78" spans="2:9" x14ac:dyDescent="0.25">
      <c r="B78" s="21" t="s">
        <v>67</v>
      </c>
      <c r="D78" s="25">
        <v>0</v>
      </c>
      <c r="E78" s="26">
        <v>0</v>
      </c>
      <c r="F78" s="26">
        <v>811505.84</v>
      </c>
      <c r="G78" s="26">
        <v>1009.9000000000001</v>
      </c>
      <c r="H78" s="26">
        <v>810495.94000000006</v>
      </c>
      <c r="I78" s="27">
        <v>0</v>
      </c>
    </row>
    <row r="79" spans="2:9" x14ac:dyDescent="0.25">
      <c r="C79" s="20" t="s">
        <v>300</v>
      </c>
      <c r="D79" s="25">
        <v>0</v>
      </c>
      <c r="E79" s="26">
        <v>0</v>
      </c>
      <c r="F79" s="26">
        <v>1161.3</v>
      </c>
      <c r="G79" s="26">
        <v>309.25</v>
      </c>
      <c r="H79" s="26">
        <v>852.05</v>
      </c>
      <c r="I79" s="27">
        <v>0</v>
      </c>
    </row>
    <row r="80" spans="2:9" x14ac:dyDescent="0.25">
      <c r="C80" s="20" t="s">
        <v>307</v>
      </c>
      <c r="D80" s="25">
        <v>0</v>
      </c>
      <c r="E80" s="26">
        <v>0</v>
      </c>
      <c r="F80" s="26">
        <v>19518.7</v>
      </c>
      <c r="G80" s="26">
        <v>0</v>
      </c>
      <c r="H80" s="26">
        <v>19518.7</v>
      </c>
      <c r="I80" s="27">
        <v>0</v>
      </c>
    </row>
    <row r="81" spans="3:9" x14ac:dyDescent="0.25">
      <c r="C81" s="20" t="s">
        <v>311</v>
      </c>
      <c r="D81" s="25">
        <v>0</v>
      </c>
      <c r="E81" s="26">
        <v>0</v>
      </c>
      <c r="F81" s="26">
        <v>32401.72</v>
      </c>
      <c r="G81" s="26">
        <v>0</v>
      </c>
      <c r="H81" s="26">
        <v>32401.72</v>
      </c>
      <c r="I81" s="27">
        <v>0</v>
      </c>
    </row>
    <row r="82" spans="3:9" x14ac:dyDescent="0.25">
      <c r="C82" s="20" t="s">
        <v>314</v>
      </c>
      <c r="D82" s="25">
        <v>0</v>
      </c>
      <c r="E82" s="26">
        <v>0</v>
      </c>
      <c r="F82" s="26">
        <v>1105.26</v>
      </c>
      <c r="G82" s="26">
        <v>0</v>
      </c>
      <c r="H82" s="26">
        <v>1105.26</v>
      </c>
      <c r="I82" s="27">
        <v>0</v>
      </c>
    </row>
    <row r="83" spans="3:9" x14ac:dyDescent="0.25">
      <c r="C83" s="20" t="s">
        <v>317</v>
      </c>
      <c r="D83" s="25">
        <v>0</v>
      </c>
      <c r="E83" s="26">
        <v>0</v>
      </c>
      <c r="F83" s="26">
        <v>13065.52</v>
      </c>
      <c r="G83" s="26">
        <v>0</v>
      </c>
      <c r="H83" s="26">
        <v>13065.52</v>
      </c>
      <c r="I83" s="27">
        <v>0</v>
      </c>
    </row>
    <row r="84" spans="3:9" x14ac:dyDescent="0.25">
      <c r="C84" s="20" t="s">
        <v>320</v>
      </c>
      <c r="D84" s="25">
        <v>0</v>
      </c>
      <c r="E84" s="26">
        <v>0</v>
      </c>
      <c r="F84" s="26">
        <v>2817.04</v>
      </c>
      <c r="G84" s="26">
        <v>0</v>
      </c>
      <c r="H84" s="26">
        <v>2817.04</v>
      </c>
      <c r="I84" s="27">
        <v>0</v>
      </c>
    </row>
    <row r="85" spans="3:9" x14ac:dyDescent="0.25">
      <c r="C85" s="20" t="s">
        <v>323</v>
      </c>
      <c r="D85" s="25">
        <v>0</v>
      </c>
      <c r="E85" s="26">
        <v>0</v>
      </c>
      <c r="F85" s="26">
        <v>22.9</v>
      </c>
      <c r="G85" s="26">
        <v>0</v>
      </c>
      <c r="H85" s="26">
        <v>22.9</v>
      </c>
      <c r="I85" s="27">
        <v>0</v>
      </c>
    </row>
    <row r="86" spans="3:9" x14ac:dyDescent="0.25">
      <c r="C86" s="20" t="s">
        <v>326</v>
      </c>
      <c r="D86" s="25">
        <v>0</v>
      </c>
      <c r="E86" s="26">
        <v>0</v>
      </c>
      <c r="F86" s="26">
        <v>293</v>
      </c>
      <c r="G86" s="26">
        <v>0</v>
      </c>
      <c r="H86" s="26">
        <v>293</v>
      </c>
      <c r="I86" s="27">
        <v>0</v>
      </c>
    </row>
    <row r="87" spans="3:9" x14ac:dyDescent="0.25">
      <c r="C87" s="20" t="s">
        <v>329</v>
      </c>
      <c r="D87" s="25">
        <v>0</v>
      </c>
      <c r="E87" s="26">
        <v>0</v>
      </c>
      <c r="F87" s="26">
        <v>9271.11</v>
      </c>
      <c r="G87" s="26">
        <v>0</v>
      </c>
      <c r="H87" s="26">
        <v>9271.11</v>
      </c>
      <c r="I87" s="27">
        <v>0</v>
      </c>
    </row>
    <row r="88" spans="3:9" x14ac:dyDescent="0.25">
      <c r="C88" s="20" t="s">
        <v>332</v>
      </c>
      <c r="D88" s="25">
        <v>0</v>
      </c>
      <c r="E88" s="26">
        <v>0</v>
      </c>
      <c r="F88" s="26">
        <v>9995.2900000000009</v>
      </c>
      <c r="G88" s="26">
        <v>0</v>
      </c>
      <c r="H88" s="26">
        <v>9995.2900000000009</v>
      </c>
      <c r="I88" s="27">
        <v>0</v>
      </c>
    </row>
    <row r="89" spans="3:9" x14ac:dyDescent="0.25">
      <c r="C89" s="20" t="s">
        <v>335</v>
      </c>
      <c r="D89" s="25">
        <v>0</v>
      </c>
      <c r="E89" s="26">
        <v>0</v>
      </c>
      <c r="F89" s="26">
        <v>639.83000000000004</v>
      </c>
      <c r="G89" s="26">
        <v>0</v>
      </c>
      <c r="H89" s="26">
        <v>639.83000000000004</v>
      </c>
      <c r="I89" s="27">
        <v>0</v>
      </c>
    </row>
    <row r="90" spans="3:9" x14ac:dyDescent="0.25">
      <c r="C90" s="20" t="s">
        <v>338</v>
      </c>
      <c r="D90" s="25">
        <v>0</v>
      </c>
      <c r="E90" s="26">
        <v>0</v>
      </c>
      <c r="F90" s="26">
        <v>6831.5</v>
      </c>
      <c r="G90" s="26">
        <v>10.31</v>
      </c>
      <c r="H90" s="26">
        <v>6821.19</v>
      </c>
      <c r="I90" s="27">
        <v>0</v>
      </c>
    </row>
    <row r="91" spans="3:9" x14ac:dyDescent="0.25">
      <c r="C91" s="20" t="s">
        <v>341</v>
      </c>
      <c r="D91" s="25">
        <v>0</v>
      </c>
      <c r="E91" s="26">
        <v>0</v>
      </c>
      <c r="F91" s="26">
        <v>35038.910000000003</v>
      </c>
      <c r="G91" s="26">
        <v>0</v>
      </c>
      <c r="H91" s="26">
        <v>35038.910000000003</v>
      </c>
      <c r="I91" s="27">
        <v>0</v>
      </c>
    </row>
    <row r="92" spans="3:9" x14ac:dyDescent="0.25">
      <c r="C92" s="20" t="s">
        <v>344</v>
      </c>
      <c r="D92" s="25">
        <v>0</v>
      </c>
      <c r="E92" s="26">
        <v>0</v>
      </c>
      <c r="F92" s="26">
        <v>156842.01999999999</v>
      </c>
      <c r="G92" s="26">
        <v>690.34</v>
      </c>
      <c r="H92" s="26">
        <v>156151.67999999999</v>
      </c>
      <c r="I92" s="27">
        <v>0</v>
      </c>
    </row>
    <row r="93" spans="3:9" x14ac:dyDescent="0.25">
      <c r="C93" s="20" t="s">
        <v>349</v>
      </c>
      <c r="D93" s="25">
        <v>0</v>
      </c>
      <c r="E93" s="26">
        <v>0</v>
      </c>
      <c r="F93" s="26">
        <v>8229.1200000000008</v>
      </c>
      <c r="G93" s="26">
        <v>0</v>
      </c>
      <c r="H93" s="26">
        <v>8229.1200000000008</v>
      </c>
      <c r="I93" s="27">
        <v>0</v>
      </c>
    </row>
    <row r="94" spans="3:9" x14ac:dyDescent="0.25">
      <c r="C94" s="20" t="s">
        <v>352</v>
      </c>
      <c r="D94" s="25">
        <v>0</v>
      </c>
      <c r="E94" s="26">
        <v>0</v>
      </c>
      <c r="F94" s="26">
        <v>14209.63</v>
      </c>
      <c r="G94" s="26">
        <v>0</v>
      </c>
      <c r="H94" s="26">
        <v>14209.63</v>
      </c>
      <c r="I94" s="27">
        <v>0</v>
      </c>
    </row>
    <row r="95" spans="3:9" x14ac:dyDescent="0.25">
      <c r="C95" s="20" t="s">
        <v>355</v>
      </c>
      <c r="D95" s="25">
        <v>0</v>
      </c>
      <c r="E95" s="26">
        <v>0</v>
      </c>
      <c r="F95" s="26">
        <v>1719.8</v>
      </c>
      <c r="G95" s="26">
        <v>0</v>
      </c>
      <c r="H95" s="26">
        <v>1719.8</v>
      </c>
      <c r="I95" s="27">
        <v>0</v>
      </c>
    </row>
    <row r="96" spans="3:9" x14ac:dyDescent="0.25">
      <c r="C96" s="20" t="s">
        <v>359</v>
      </c>
      <c r="D96" s="25">
        <v>0</v>
      </c>
      <c r="E96" s="26">
        <v>0</v>
      </c>
      <c r="F96" s="26">
        <v>40670.82</v>
      </c>
      <c r="G96" s="26">
        <v>0</v>
      </c>
      <c r="H96" s="26">
        <v>40670.82</v>
      </c>
      <c r="I96" s="27">
        <v>0</v>
      </c>
    </row>
    <row r="97" spans="3:9" x14ac:dyDescent="0.25">
      <c r="C97" s="20" t="s">
        <v>363</v>
      </c>
      <c r="D97" s="25">
        <v>0</v>
      </c>
      <c r="E97" s="26">
        <v>0</v>
      </c>
      <c r="F97" s="26">
        <v>238.96</v>
      </c>
      <c r="G97" s="26">
        <v>0</v>
      </c>
      <c r="H97" s="26">
        <v>238.96</v>
      </c>
      <c r="I97" s="27">
        <v>0</v>
      </c>
    </row>
    <row r="98" spans="3:9" x14ac:dyDescent="0.25">
      <c r="C98" s="20" t="s">
        <v>367</v>
      </c>
      <c r="D98" s="25">
        <v>0</v>
      </c>
      <c r="E98" s="26">
        <v>0</v>
      </c>
      <c r="F98" s="26">
        <v>2112.27</v>
      </c>
      <c r="G98" s="26">
        <v>0</v>
      </c>
      <c r="H98" s="26">
        <v>2112.27</v>
      </c>
      <c r="I98" s="27">
        <v>0</v>
      </c>
    </row>
    <row r="99" spans="3:9" x14ac:dyDescent="0.25">
      <c r="C99" s="20" t="s">
        <v>371</v>
      </c>
      <c r="D99" s="25">
        <v>0</v>
      </c>
      <c r="E99" s="26">
        <v>0</v>
      </c>
      <c r="F99" s="26">
        <v>740.28</v>
      </c>
      <c r="G99" s="26">
        <v>0</v>
      </c>
      <c r="H99" s="26">
        <v>740.28</v>
      </c>
      <c r="I99" s="27">
        <v>0</v>
      </c>
    </row>
    <row r="100" spans="3:9" x14ac:dyDescent="0.25">
      <c r="C100" s="20" t="s">
        <v>375</v>
      </c>
      <c r="D100" s="25">
        <v>0</v>
      </c>
      <c r="E100" s="26">
        <v>0</v>
      </c>
      <c r="F100" s="26">
        <v>738.58</v>
      </c>
      <c r="G100" s="26">
        <v>0</v>
      </c>
      <c r="H100" s="26">
        <v>738.58</v>
      </c>
      <c r="I100" s="27">
        <v>0</v>
      </c>
    </row>
    <row r="101" spans="3:9" x14ac:dyDescent="0.25">
      <c r="C101" s="20" t="s">
        <v>378</v>
      </c>
      <c r="D101" s="25">
        <v>0</v>
      </c>
      <c r="E101" s="26">
        <v>0</v>
      </c>
      <c r="F101" s="26">
        <v>2593</v>
      </c>
      <c r="G101" s="26">
        <v>0</v>
      </c>
      <c r="H101" s="26">
        <v>2593</v>
      </c>
      <c r="I101" s="27">
        <v>0</v>
      </c>
    </row>
    <row r="102" spans="3:9" x14ac:dyDescent="0.25">
      <c r="C102" s="20" t="s">
        <v>383</v>
      </c>
      <c r="D102" s="25">
        <v>0</v>
      </c>
      <c r="E102" s="26">
        <v>0</v>
      </c>
      <c r="F102" s="26">
        <v>1399.9</v>
      </c>
      <c r="G102" s="26">
        <v>0</v>
      </c>
      <c r="H102" s="26">
        <v>1399.9</v>
      </c>
      <c r="I102" s="27">
        <v>0</v>
      </c>
    </row>
    <row r="103" spans="3:9" x14ac:dyDescent="0.25">
      <c r="C103" s="20" t="s">
        <v>387</v>
      </c>
      <c r="D103" s="25">
        <v>0</v>
      </c>
      <c r="E103" s="26">
        <v>0</v>
      </c>
      <c r="F103" s="26">
        <v>21086.41</v>
      </c>
      <c r="G103" s="26">
        <v>0</v>
      </c>
      <c r="H103" s="26">
        <v>21086.41</v>
      </c>
      <c r="I103" s="27">
        <v>0</v>
      </c>
    </row>
    <row r="104" spans="3:9" x14ac:dyDescent="0.25">
      <c r="C104" s="20" t="s">
        <v>391</v>
      </c>
      <c r="D104" s="25">
        <v>0</v>
      </c>
      <c r="E104" s="26">
        <v>0</v>
      </c>
      <c r="F104" s="26">
        <v>1926.95</v>
      </c>
      <c r="G104" s="26">
        <v>0</v>
      </c>
      <c r="H104" s="26">
        <v>1926.95</v>
      </c>
      <c r="I104" s="27">
        <v>0</v>
      </c>
    </row>
    <row r="105" spans="3:9" x14ac:dyDescent="0.25">
      <c r="C105" s="20" t="s">
        <v>395</v>
      </c>
      <c r="D105" s="25">
        <v>0</v>
      </c>
      <c r="E105" s="26">
        <v>0</v>
      </c>
      <c r="F105" s="26">
        <v>7244.24</v>
      </c>
      <c r="G105" s="26">
        <v>0</v>
      </c>
      <c r="H105" s="26">
        <v>7244.24</v>
      </c>
      <c r="I105" s="27">
        <v>0</v>
      </c>
    </row>
    <row r="106" spans="3:9" x14ac:dyDescent="0.25">
      <c r="C106" s="20" t="s">
        <v>398</v>
      </c>
      <c r="D106" s="25">
        <v>0</v>
      </c>
      <c r="E106" s="26">
        <v>0</v>
      </c>
      <c r="F106" s="26">
        <v>2683.66</v>
      </c>
      <c r="G106" s="26">
        <v>0</v>
      </c>
      <c r="H106" s="26">
        <v>2683.66</v>
      </c>
      <c r="I106" s="27">
        <v>0</v>
      </c>
    </row>
    <row r="107" spans="3:9" x14ac:dyDescent="0.25">
      <c r="C107" s="20" t="s">
        <v>401</v>
      </c>
      <c r="D107" s="25">
        <v>0</v>
      </c>
      <c r="E107" s="26">
        <v>0</v>
      </c>
      <c r="F107" s="26">
        <v>24247.41</v>
      </c>
      <c r="G107" s="26">
        <v>0</v>
      </c>
      <c r="H107" s="26">
        <v>24247.41</v>
      </c>
      <c r="I107" s="27">
        <v>0</v>
      </c>
    </row>
    <row r="108" spans="3:9" x14ac:dyDescent="0.25">
      <c r="C108" s="20" t="s">
        <v>405</v>
      </c>
      <c r="D108" s="25">
        <v>0</v>
      </c>
      <c r="E108" s="26">
        <v>0</v>
      </c>
      <c r="F108" s="26">
        <v>214.8</v>
      </c>
      <c r="G108" s="26">
        <v>0</v>
      </c>
      <c r="H108" s="26">
        <v>214.8</v>
      </c>
      <c r="I108" s="27">
        <v>0</v>
      </c>
    </row>
    <row r="109" spans="3:9" x14ac:dyDescent="0.25">
      <c r="C109" s="20" t="s">
        <v>409</v>
      </c>
      <c r="D109" s="25">
        <v>0</v>
      </c>
      <c r="E109" s="26">
        <v>0</v>
      </c>
      <c r="F109" s="26">
        <v>1422.9</v>
      </c>
      <c r="G109" s="26">
        <v>0</v>
      </c>
      <c r="H109" s="26">
        <v>1422.9</v>
      </c>
      <c r="I109" s="27">
        <v>0</v>
      </c>
    </row>
    <row r="110" spans="3:9" x14ac:dyDescent="0.25">
      <c r="C110" s="20" t="s">
        <v>413</v>
      </c>
      <c r="D110" s="25">
        <v>0</v>
      </c>
      <c r="E110" s="26">
        <v>0</v>
      </c>
      <c r="F110" s="26">
        <v>744</v>
      </c>
      <c r="G110" s="26">
        <v>0</v>
      </c>
      <c r="H110" s="26">
        <v>744</v>
      </c>
      <c r="I110" s="27">
        <v>0</v>
      </c>
    </row>
    <row r="111" spans="3:9" x14ac:dyDescent="0.25">
      <c r="C111" s="20" t="s">
        <v>416</v>
      </c>
      <c r="D111" s="25">
        <v>0</v>
      </c>
      <c r="E111" s="26">
        <v>0</v>
      </c>
      <c r="F111" s="26">
        <v>1729.27</v>
      </c>
      <c r="G111" s="26">
        <v>0</v>
      </c>
      <c r="H111" s="26">
        <v>1729.27</v>
      </c>
      <c r="I111" s="27">
        <v>0</v>
      </c>
    </row>
    <row r="112" spans="3:9" x14ac:dyDescent="0.25">
      <c r="C112" s="20" t="s">
        <v>419</v>
      </c>
      <c r="D112" s="25">
        <v>0</v>
      </c>
      <c r="E112" s="26">
        <v>0</v>
      </c>
      <c r="F112" s="26">
        <v>353467.61</v>
      </c>
      <c r="G112" s="26">
        <v>0</v>
      </c>
      <c r="H112" s="26">
        <v>353467.61</v>
      </c>
      <c r="I112" s="27">
        <v>0</v>
      </c>
    </row>
    <row r="113" spans="2:9" x14ac:dyDescent="0.25">
      <c r="C113" s="20" t="s">
        <v>424</v>
      </c>
      <c r="D113" s="25">
        <v>0</v>
      </c>
      <c r="E113" s="26">
        <v>0</v>
      </c>
      <c r="F113" s="26">
        <v>4302.03</v>
      </c>
      <c r="G113" s="26">
        <v>0</v>
      </c>
      <c r="H113" s="26">
        <v>4302.03</v>
      </c>
      <c r="I113" s="27">
        <v>0</v>
      </c>
    </row>
    <row r="114" spans="2:9" x14ac:dyDescent="0.25">
      <c r="C114" s="20" t="s">
        <v>429</v>
      </c>
      <c r="D114" s="25">
        <v>0</v>
      </c>
      <c r="E114" s="26">
        <v>0</v>
      </c>
      <c r="F114" s="26">
        <v>1600.88</v>
      </c>
      <c r="G114" s="26">
        <v>0</v>
      </c>
      <c r="H114" s="26">
        <v>1600.88</v>
      </c>
      <c r="I114" s="27">
        <v>0</v>
      </c>
    </row>
    <row r="115" spans="2:9" x14ac:dyDescent="0.25">
      <c r="C115" s="20" t="s">
        <v>432</v>
      </c>
      <c r="D115" s="25">
        <v>0</v>
      </c>
      <c r="E115" s="26">
        <v>0</v>
      </c>
      <c r="F115" s="26">
        <v>16572.36</v>
      </c>
      <c r="G115" s="26">
        <v>0</v>
      </c>
      <c r="H115" s="26">
        <v>16572.36</v>
      </c>
      <c r="I115" s="27">
        <v>0</v>
      </c>
    </row>
    <row r="116" spans="2:9" x14ac:dyDescent="0.25">
      <c r="C116" s="20" t="s">
        <v>436</v>
      </c>
      <c r="D116" s="25">
        <v>0</v>
      </c>
      <c r="E116" s="26">
        <v>0</v>
      </c>
      <c r="F116" s="26">
        <v>4765.5</v>
      </c>
      <c r="G116" s="26">
        <v>0</v>
      </c>
      <c r="H116" s="26">
        <v>4765.5</v>
      </c>
      <c r="I116" s="27">
        <v>0</v>
      </c>
    </row>
    <row r="117" spans="2:9" x14ac:dyDescent="0.25">
      <c r="C117" s="20" t="s">
        <v>440</v>
      </c>
      <c r="D117" s="25">
        <v>0</v>
      </c>
      <c r="E117" s="26">
        <v>0</v>
      </c>
      <c r="F117" s="26">
        <v>747.11</v>
      </c>
      <c r="G117" s="26">
        <v>0</v>
      </c>
      <c r="H117" s="26">
        <v>747.11</v>
      </c>
      <c r="I117" s="27">
        <v>0</v>
      </c>
    </row>
    <row r="118" spans="2:9" x14ac:dyDescent="0.25">
      <c r="C118" s="20" t="s">
        <v>444</v>
      </c>
      <c r="D118" s="25">
        <v>0</v>
      </c>
      <c r="E118" s="26">
        <v>0</v>
      </c>
      <c r="F118" s="26">
        <v>7094.25</v>
      </c>
      <c r="G118" s="26">
        <v>0</v>
      </c>
      <c r="H118" s="26">
        <v>7094.25</v>
      </c>
      <c r="I118" s="27">
        <v>0</v>
      </c>
    </row>
    <row r="119" spans="2:9" x14ac:dyDescent="0.25">
      <c r="B119" s="20" t="s">
        <v>453</v>
      </c>
      <c r="D119" s="25">
        <v>0</v>
      </c>
      <c r="E119" s="26">
        <v>0</v>
      </c>
      <c r="F119" s="26">
        <v>10.31</v>
      </c>
      <c r="G119" s="26">
        <v>793276.99</v>
      </c>
      <c r="H119" s="26">
        <v>0</v>
      </c>
      <c r="I119" s="27">
        <v>793266.67999999993</v>
      </c>
    </row>
    <row r="120" spans="2:9" x14ac:dyDescent="0.25">
      <c r="B120" s="21" t="s">
        <v>67</v>
      </c>
      <c r="D120" s="25">
        <v>0</v>
      </c>
      <c r="E120" s="26">
        <v>0</v>
      </c>
      <c r="F120" s="26">
        <v>10.31</v>
      </c>
      <c r="G120" s="26">
        <v>793276.99</v>
      </c>
      <c r="H120" s="26">
        <v>0</v>
      </c>
      <c r="I120" s="27">
        <v>793266.67999999993</v>
      </c>
    </row>
    <row r="121" spans="2:9" x14ac:dyDescent="0.25">
      <c r="C121" s="20" t="s">
        <v>449</v>
      </c>
      <c r="D121" s="25">
        <v>0</v>
      </c>
      <c r="E121" s="26">
        <v>0</v>
      </c>
      <c r="F121" s="26">
        <v>0</v>
      </c>
      <c r="G121" s="26">
        <v>147309.9</v>
      </c>
      <c r="H121" s="26">
        <v>0</v>
      </c>
      <c r="I121" s="27">
        <v>147309.9</v>
      </c>
    </row>
    <row r="122" spans="2:9" x14ac:dyDescent="0.25">
      <c r="C122" s="20" t="s">
        <v>456</v>
      </c>
      <c r="D122" s="25">
        <v>0</v>
      </c>
      <c r="E122" s="26">
        <v>0</v>
      </c>
      <c r="F122" s="26">
        <v>0</v>
      </c>
      <c r="G122" s="26">
        <v>914.75</v>
      </c>
      <c r="H122" s="26">
        <v>0</v>
      </c>
      <c r="I122" s="27">
        <v>914.75</v>
      </c>
    </row>
    <row r="123" spans="2:9" x14ac:dyDescent="0.25">
      <c r="C123" s="20" t="s">
        <v>459</v>
      </c>
      <c r="D123" s="25">
        <v>0</v>
      </c>
      <c r="E123" s="26">
        <v>0</v>
      </c>
      <c r="F123" s="26">
        <v>0</v>
      </c>
      <c r="G123" s="26">
        <v>925</v>
      </c>
      <c r="H123" s="26">
        <v>0</v>
      </c>
      <c r="I123" s="27">
        <v>925</v>
      </c>
    </row>
    <row r="124" spans="2:9" x14ac:dyDescent="0.25">
      <c r="C124" s="20" t="s">
        <v>462</v>
      </c>
      <c r="D124" s="25">
        <v>0</v>
      </c>
      <c r="E124" s="26">
        <v>0</v>
      </c>
      <c r="F124" s="26">
        <v>0</v>
      </c>
      <c r="G124" s="26">
        <v>1286</v>
      </c>
      <c r="H124" s="26">
        <v>0</v>
      </c>
      <c r="I124" s="27">
        <v>1286</v>
      </c>
    </row>
    <row r="125" spans="2:9" x14ac:dyDescent="0.25">
      <c r="C125" s="20" t="s">
        <v>465</v>
      </c>
      <c r="D125" s="25">
        <v>0</v>
      </c>
      <c r="E125" s="26">
        <v>0</v>
      </c>
      <c r="F125" s="26">
        <v>0</v>
      </c>
      <c r="G125" s="26">
        <v>2114</v>
      </c>
      <c r="H125" s="26">
        <v>0</v>
      </c>
      <c r="I125" s="27">
        <v>2114</v>
      </c>
    </row>
    <row r="126" spans="2:9" x14ac:dyDescent="0.25">
      <c r="C126" s="20" t="s">
        <v>469</v>
      </c>
      <c r="D126" s="25">
        <v>0</v>
      </c>
      <c r="E126" s="26">
        <v>0</v>
      </c>
      <c r="F126" s="26">
        <v>0</v>
      </c>
      <c r="G126" s="26">
        <v>20088.63</v>
      </c>
      <c r="H126" s="26">
        <v>0</v>
      </c>
      <c r="I126" s="27">
        <v>20088.63</v>
      </c>
    </row>
    <row r="127" spans="2:9" x14ac:dyDescent="0.25">
      <c r="C127" s="20" t="s">
        <v>474</v>
      </c>
      <c r="D127" s="25">
        <v>0</v>
      </c>
      <c r="E127" s="26">
        <v>0</v>
      </c>
      <c r="F127" s="26">
        <v>0</v>
      </c>
      <c r="G127" s="26">
        <v>353467.61</v>
      </c>
      <c r="H127" s="26">
        <v>0</v>
      </c>
      <c r="I127" s="27">
        <v>353467.61</v>
      </c>
    </row>
    <row r="128" spans="2:9" x14ac:dyDescent="0.25">
      <c r="C128" s="20" t="s">
        <v>477</v>
      </c>
      <c r="D128" s="25">
        <v>0</v>
      </c>
      <c r="E128" s="26">
        <v>0</v>
      </c>
      <c r="F128" s="26">
        <v>10.31</v>
      </c>
      <c r="G128" s="26">
        <v>17774.78</v>
      </c>
      <c r="H128" s="26">
        <v>0</v>
      </c>
      <c r="I128" s="27">
        <v>17764.47</v>
      </c>
    </row>
    <row r="129" spans="2:9" x14ac:dyDescent="0.25">
      <c r="C129" s="20" t="s">
        <v>480</v>
      </c>
      <c r="D129" s="25">
        <v>0</v>
      </c>
      <c r="E129" s="26">
        <v>0</v>
      </c>
      <c r="F129" s="26">
        <v>0</v>
      </c>
      <c r="G129" s="26">
        <v>3590.7</v>
      </c>
      <c r="H129" s="26">
        <v>0</v>
      </c>
      <c r="I129" s="27">
        <v>3590.7</v>
      </c>
    </row>
    <row r="130" spans="2:9" x14ac:dyDescent="0.25">
      <c r="C130" s="20" t="s">
        <v>483</v>
      </c>
      <c r="D130" s="25">
        <v>0</v>
      </c>
      <c r="E130" s="26">
        <v>0</v>
      </c>
      <c r="F130" s="26">
        <v>0</v>
      </c>
      <c r="G130" s="26">
        <v>130299.5</v>
      </c>
      <c r="H130" s="26">
        <v>0</v>
      </c>
      <c r="I130" s="27">
        <v>130299.5</v>
      </c>
    </row>
    <row r="131" spans="2:9" x14ac:dyDescent="0.25">
      <c r="C131" s="20" t="s">
        <v>487</v>
      </c>
      <c r="D131" s="25">
        <v>0</v>
      </c>
      <c r="E131" s="26">
        <v>0</v>
      </c>
      <c r="F131" s="26">
        <v>0</v>
      </c>
      <c r="G131" s="26">
        <v>47710.23</v>
      </c>
      <c r="H131" s="26">
        <v>0</v>
      </c>
      <c r="I131" s="27">
        <v>47710.23</v>
      </c>
    </row>
    <row r="132" spans="2:9" x14ac:dyDescent="0.25">
      <c r="C132" s="20" t="s">
        <v>489</v>
      </c>
      <c r="D132" s="25">
        <v>0</v>
      </c>
      <c r="E132" s="26">
        <v>0</v>
      </c>
      <c r="F132" s="26">
        <v>0</v>
      </c>
      <c r="G132" s="26">
        <v>46776.4</v>
      </c>
      <c r="H132" s="26">
        <v>0</v>
      </c>
      <c r="I132" s="27">
        <v>46776.4</v>
      </c>
    </row>
    <row r="133" spans="2:9" x14ac:dyDescent="0.25">
      <c r="C133" s="20" t="s">
        <v>492</v>
      </c>
      <c r="D133" s="25">
        <v>0</v>
      </c>
      <c r="E133" s="26">
        <v>0</v>
      </c>
      <c r="F133" s="26">
        <v>0</v>
      </c>
      <c r="G133" s="26">
        <v>15660.66</v>
      </c>
      <c r="H133" s="26">
        <v>0</v>
      </c>
      <c r="I133" s="27">
        <v>15660.66</v>
      </c>
    </row>
    <row r="134" spans="2:9" ht="15.75" thickBot="1" x14ac:dyDescent="0.3">
      <c r="C134" s="20" t="s">
        <v>496</v>
      </c>
      <c r="D134" s="25">
        <v>0</v>
      </c>
      <c r="E134" s="26">
        <v>0</v>
      </c>
      <c r="F134" s="26">
        <v>0</v>
      </c>
      <c r="G134" s="26">
        <v>5358.83</v>
      </c>
      <c r="H134" s="26">
        <v>0</v>
      </c>
      <c r="I134" s="27">
        <v>5358.83</v>
      </c>
    </row>
    <row r="135" spans="2:9" ht="15.75" thickBot="1" x14ac:dyDescent="0.3">
      <c r="B135" s="7" t="s">
        <v>1</v>
      </c>
      <c r="C135" s="8"/>
      <c r="D135" s="28">
        <v>1133080.7899999998</v>
      </c>
      <c r="E135" s="29">
        <v>1133080.79</v>
      </c>
      <c r="F135" s="29">
        <v>5106298.9400000013</v>
      </c>
      <c r="G135" s="29">
        <v>5106298.9400000013</v>
      </c>
      <c r="H135" s="29">
        <v>0</v>
      </c>
      <c r="I135" s="30">
        <v>0</v>
      </c>
    </row>
  </sheetData>
  <mergeCells count="6">
    <mergeCell ref="H6:I6"/>
    <mergeCell ref="E2:F2"/>
    <mergeCell ref="C6:C7"/>
    <mergeCell ref="B6:B7"/>
    <mergeCell ref="D6:E6"/>
    <mergeCell ref="F6:G6"/>
  </mergeCells>
  <pageMargins left="0.7" right="0.7" top="0.75" bottom="0.75" header="0.3" footer="0.3"/>
  <pageSetup paperSize="9" scale="51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17"/>
  <sheetViews>
    <sheetView workbookViewId="0"/>
  </sheetViews>
  <sheetFormatPr baseColWidth="10" defaultRowHeight="15" x14ac:dyDescent="0.25"/>
  <cols>
    <col min="1" max="1" width="14.5703125" bestFit="1" customWidth="1"/>
    <col min="2" max="2" width="23.5703125" bestFit="1" customWidth="1"/>
    <col min="3" max="3" width="24.5703125" bestFit="1" customWidth="1"/>
    <col min="4" max="4" width="24.28515625" bestFit="1" customWidth="1"/>
    <col min="5" max="10" width="23.7109375" style="1" customWidth="1"/>
    <col min="11" max="11" width="7.85546875" bestFit="1" customWidth="1"/>
    <col min="12" max="12" width="21.85546875" bestFit="1" customWidth="1"/>
    <col min="13" max="13" width="16.5703125" bestFit="1" customWidth="1"/>
    <col min="14" max="14" width="21.28515625" bestFit="1" customWidth="1"/>
    <col min="15" max="15" width="26" bestFit="1" customWidth="1"/>
    <col min="16" max="16" width="13.5703125" bestFit="1" customWidth="1"/>
    <col min="17" max="17" width="9.5703125" bestFit="1" customWidth="1"/>
    <col min="18" max="18" width="15.5703125" bestFit="1" customWidth="1"/>
    <col min="19" max="19" width="18.140625" bestFit="1" customWidth="1"/>
    <col min="20" max="20" width="9.5703125" bestFit="1" customWidth="1"/>
    <col min="21" max="21" width="15.5703125" bestFit="1" customWidth="1"/>
    <col min="22" max="22" width="18.140625" bestFit="1" customWidth="1"/>
    <col min="23" max="23" width="9.5703125" bestFit="1" customWidth="1"/>
    <col min="24" max="24" width="15.5703125" bestFit="1" customWidth="1"/>
    <col min="25" max="25" width="18.140625" bestFit="1" customWidth="1"/>
    <col min="26" max="26" width="9.5703125" bestFit="1" customWidth="1"/>
    <col min="27" max="27" width="15.5703125" bestFit="1" customWidth="1"/>
    <col min="28" max="28" width="18.140625" bestFit="1" customWidth="1"/>
    <col min="29" max="30" width="13.5703125" hidden="1" customWidth="1"/>
    <col min="31" max="31" width="15.85546875" hidden="1" customWidth="1"/>
    <col min="32" max="32" width="13.140625" hidden="1" customWidth="1"/>
    <col min="33" max="33" width="7" hidden="1" customWidth="1"/>
    <col min="34" max="34" width="10.28515625" hidden="1" customWidth="1"/>
    <col min="35" max="35" width="9" hidden="1" customWidth="1"/>
    <col min="36" max="36" width="16.5703125" hidden="1" customWidth="1"/>
    <col min="37" max="37" width="13.5703125" hidden="1" customWidth="1"/>
  </cols>
  <sheetData>
    <row r="1" spans="1:37" x14ac:dyDescent="0.25">
      <c r="A1" t="s">
        <v>43</v>
      </c>
      <c r="B1" t="str">
        <f>AG4</f>
        <v>102046858</v>
      </c>
      <c r="C1" t="s">
        <v>42</v>
      </c>
      <c r="D1" t="str">
        <f>AH4</f>
        <v>032FRANTZFRANCOISC01</v>
      </c>
      <c r="E1" s="1" t="s">
        <v>41</v>
      </c>
      <c r="F1" t="str">
        <f>AI4</f>
        <v>30/03/2026</v>
      </c>
    </row>
    <row r="2" spans="1:37" x14ac:dyDescent="0.25">
      <c r="A2" t="s">
        <v>46</v>
      </c>
      <c r="B2" t="str">
        <f>AC4</f>
        <v>P03427</v>
      </c>
      <c r="C2" t="str">
        <f>AD4</f>
        <v>9710040S</v>
      </c>
      <c r="D2" t="s">
        <v>45</v>
      </c>
      <c r="E2" t="str">
        <f>AE4</f>
        <v>01/01/2026</v>
      </c>
      <c r="F2" s="1" t="s">
        <v>44</v>
      </c>
      <c r="G2" t="str">
        <f>AF4</f>
        <v>31/12/2026</v>
      </c>
      <c r="H2" s="1" t="s">
        <v>49</v>
      </c>
      <c r="I2" t="str">
        <f>AJ4</f>
        <v>01/2025</v>
      </c>
      <c r="J2" s="1" t="s">
        <v>50</v>
      </c>
      <c r="K2" t="str">
        <f>AK4</f>
        <v>12/2025</v>
      </c>
    </row>
    <row r="3" spans="1:37" x14ac:dyDescent="0.25">
      <c r="A3" t="s">
        <v>2</v>
      </c>
      <c r="B3" t="s">
        <v>51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52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28</v>
      </c>
      <c r="W3" t="s">
        <v>29</v>
      </c>
      <c r="X3" t="s">
        <v>30</v>
      </c>
      <c r="Y3" t="s">
        <v>27</v>
      </c>
      <c r="Z3" t="s">
        <v>31</v>
      </c>
      <c r="AA3" t="s">
        <v>32</v>
      </c>
      <c r="AB3" t="s">
        <v>33</v>
      </c>
      <c r="AC3" t="s">
        <v>21</v>
      </c>
      <c r="AD3" t="s">
        <v>8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48</v>
      </c>
      <c r="AK3" t="s">
        <v>47</v>
      </c>
    </row>
    <row r="4" spans="1:37" x14ac:dyDescent="0.25">
      <c r="A4" t="s">
        <v>57</v>
      </c>
      <c r="B4" t="s">
        <v>58</v>
      </c>
      <c r="C4" t="s">
        <v>59</v>
      </c>
      <c r="E4" s="1">
        <v>0</v>
      </c>
      <c r="F4" s="1">
        <v>260320.91</v>
      </c>
      <c r="G4" s="1">
        <v>72.02</v>
      </c>
      <c r="H4" s="1">
        <v>0</v>
      </c>
      <c r="I4" s="1">
        <v>0</v>
      </c>
      <c r="J4" s="1">
        <v>260248.89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62</v>
      </c>
      <c r="S4" t="s">
        <v>66</v>
      </c>
      <c r="V4" t="s">
        <v>67</v>
      </c>
      <c r="Y4" t="s">
        <v>67</v>
      </c>
      <c r="AB4" t="s">
        <v>67</v>
      </c>
      <c r="AC4" t="s">
        <v>65</v>
      </c>
      <c r="AD4" t="s">
        <v>68</v>
      </c>
      <c r="AE4" t="s">
        <v>69</v>
      </c>
      <c r="AF4" t="s">
        <v>70</v>
      </c>
      <c r="AG4" t="s">
        <v>71</v>
      </c>
      <c r="AH4" t="s">
        <v>72</v>
      </c>
      <c r="AI4" t="s">
        <v>73</v>
      </c>
      <c r="AJ4" t="s">
        <v>74</v>
      </c>
      <c r="AK4" t="s">
        <v>75</v>
      </c>
    </row>
    <row r="5" spans="1:37" x14ac:dyDescent="0.25">
      <c r="A5" t="s">
        <v>76</v>
      </c>
      <c r="B5" t="s">
        <v>77</v>
      </c>
      <c r="C5" t="s">
        <v>78</v>
      </c>
      <c r="E5" s="1">
        <v>72.02</v>
      </c>
      <c r="F5" s="1">
        <v>0</v>
      </c>
      <c r="G5" s="1">
        <v>0</v>
      </c>
      <c r="H5" s="1">
        <v>72.02</v>
      </c>
      <c r="I5" s="1">
        <v>0</v>
      </c>
      <c r="J5" s="1">
        <v>0</v>
      </c>
      <c r="K5" t="s">
        <v>60</v>
      </c>
      <c r="L5" t="s">
        <v>61</v>
      </c>
      <c r="M5" t="s">
        <v>62</v>
      </c>
      <c r="N5" t="s">
        <v>79</v>
      </c>
      <c r="O5" t="s">
        <v>80</v>
      </c>
      <c r="P5" t="s">
        <v>65</v>
      </c>
      <c r="Q5" t="s">
        <v>62</v>
      </c>
      <c r="S5" t="s">
        <v>66</v>
      </c>
      <c r="V5" t="s">
        <v>67</v>
      </c>
      <c r="Y5" t="s">
        <v>67</v>
      </c>
      <c r="AB5" t="s">
        <v>67</v>
      </c>
    </row>
    <row r="6" spans="1:37" x14ac:dyDescent="0.25">
      <c r="A6" t="s">
        <v>81</v>
      </c>
      <c r="B6" t="s">
        <v>82</v>
      </c>
      <c r="C6" t="s">
        <v>83</v>
      </c>
      <c r="E6" s="1">
        <v>0</v>
      </c>
      <c r="F6" s="1">
        <v>26834.37</v>
      </c>
      <c r="G6" s="1">
        <v>0</v>
      </c>
      <c r="H6" s="1">
        <v>0</v>
      </c>
      <c r="I6" s="1">
        <v>0</v>
      </c>
      <c r="J6" s="1">
        <v>26834.37</v>
      </c>
      <c r="K6" t="s">
        <v>81</v>
      </c>
      <c r="L6" t="s">
        <v>82</v>
      </c>
      <c r="M6" t="s">
        <v>62</v>
      </c>
      <c r="N6" t="s">
        <v>84</v>
      </c>
      <c r="O6" t="s">
        <v>85</v>
      </c>
      <c r="P6" t="s">
        <v>65</v>
      </c>
      <c r="Q6" t="s">
        <v>62</v>
      </c>
      <c r="S6" t="s">
        <v>66</v>
      </c>
      <c r="V6" t="s">
        <v>67</v>
      </c>
      <c r="Y6" t="s">
        <v>67</v>
      </c>
      <c r="AB6" t="s">
        <v>67</v>
      </c>
    </row>
    <row r="7" spans="1:37" x14ac:dyDescent="0.25">
      <c r="A7" t="s">
        <v>86</v>
      </c>
      <c r="B7" t="s">
        <v>87</v>
      </c>
      <c r="C7" t="s">
        <v>88</v>
      </c>
      <c r="E7" s="1">
        <v>21152.9</v>
      </c>
      <c r="F7" s="1">
        <v>0</v>
      </c>
      <c r="G7" s="1">
        <v>5358.83</v>
      </c>
      <c r="H7" s="1">
        <v>0</v>
      </c>
      <c r="I7" s="1">
        <v>26511.73</v>
      </c>
      <c r="J7" s="1">
        <v>0</v>
      </c>
      <c r="K7" t="s">
        <v>60</v>
      </c>
      <c r="L7" t="s">
        <v>61</v>
      </c>
      <c r="M7" t="s">
        <v>62</v>
      </c>
      <c r="N7" t="s">
        <v>84</v>
      </c>
      <c r="O7" t="s">
        <v>85</v>
      </c>
      <c r="P7" t="s">
        <v>65</v>
      </c>
      <c r="Q7" t="s">
        <v>62</v>
      </c>
      <c r="S7" t="s">
        <v>66</v>
      </c>
      <c r="V7" t="s">
        <v>67</v>
      </c>
      <c r="Y7" t="s">
        <v>67</v>
      </c>
      <c r="AB7" t="s">
        <v>67</v>
      </c>
    </row>
    <row r="8" spans="1:37" x14ac:dyDescent="0.25">
      <c r="A8" t="s">
        <v>89</v>
      </c>
      <c r="B8" t="s">
        <v>90</v>
      </c>
      <c r="C8" t="s">
        <v>91</v>
      </c>
      <c r="E8" s="1">
        <v>4002.32</v>
      </c>
      <c r="F8" s="1">
        <v>0</v>
      </c>
      <c r="G8" s="1">
        <v>0</v>
      </c>
      <c r="H8" s="1">
        <v>0</v>
      </c>
      <c r="I8" s="1">
        <v>4002.32</v>
      </c>
      <c r="J8" s="1">
        <v>0</v>
      </c>
      <c r="K8" t="s">
        <v>89</v>
      </c>
      <c r="L8" t="s">
        <v>90</v>
      </c>
      <c r="M8" t="s">
        <v>92</v>
      </c>
      <c r="N8" t="s">
        <v>93</v>
      </c>
      <c r="O8" t="s">
        <v>94</v>
      </c>
      <c r="P8" t="s">
        <v>65</v>
      </c>
      <c r="Q8" t="s">
        <v>92</v>
      </c>
      <c r="S8" t="s">
        <v>95</v>
      </c>
      <c r="V8" t="s">
        <v>67</v>
      </c>
      <c r="Y8" t="s">
        <v>67</v>
      </c>
      <c r="AB8" t="s">
        <v>67</v>
      </c>
    </row>
    <row r="9" spans="1:37" x14ac:dyDescent="0.25">
      <c r="A9" t="s">
        <v>96</v>
      </c>
      <c r="B9" t="s">
        <v>97</v>
      </c>
      <c r="C9" t="s">
        <v>98</v>
      </c>
      <c r="E9" s="1">
        <v>18582.22</v>
      </c>
      <c r="F9" s="1">
        <v>0</v>
      </c>
      <c r="G9" s="1">
        <v>0</v>
      </c>
      <c r="H9" s="1">
        <v>0</v>
      </c>
      <c r="I9" s="1">
        <v>18582.22</v>
      </c>
      <c r="J9" s="1">
        <v>0</v>
      </c>
      <c r="K9" t="s">
        <v>96</v>
      </c>
      <c r="L9" t="s">
        <v>97</v>
      </c>
      <c r="M9" t="s">
        <v>92</v>
      </c>
      <c r="N9" t="s">
        <v>93</v>
      </c>
      <c r="O9" t="s">
        <v>99</v>
      </c>
      <c r="P9" t="s">
        <v>65</v>
      </c>
      <c r="Q9" t="s">
        <v>92</v>
      </c>
      <c r="S9" t="s">
        <v>95</v>
      </c>
      <c r="V9" t="s">
        <v>67</v>
      </c>
      <c r="Y9" t="s">
        <v>67</v>
      </c>
      <c r="AB9" t="s">
        <v>67</v>
      </c>
    </row>
    <row r="10" spans="1:37" x14ac:dyDescent="0.25">
      <c r="A10" t="s">
        <v>100</v>
      </c>
      <c r="B10" t="s">
        <v>101</v>
      </c>
      <c r="C10" t="s">
        <v>102</v>
      </c>
      <c r="E10" s="1">
        <v>16669.41</v>
      </c>
      <c r="F10" s="1">
        <v>0</v>
      </c>
      <c r="G10" s="1">
        <v>0</v>
      </c>
      <c r="H10" s="1">
        <v>0</v>
      </c>
      <c r="I10" s="1">
        <v>16669.41</v>
      </c>
      <c r="J10" s="1">
        <v>0</v>
      </c>
      <c r="K10" t="s">
        <v>100</v>
      </c>
      <c r="L10" t="s">
        <v>101</v>
      </c>
      <c r="M10" t="s">
        <v>92</v>
      </c>
      <c r="N10" t="s">
        <v>93</v>
      </c>
      <c r="O10" t="s">
        <v>103</v>
      </c>
      <c r="P10" t="s">
        <v>65</v>
      </c>
      <c r="Q10" t="s">
        <v>92</v>
      </c>
      <c r="S10" t="s">
        <v>95</v>
      </c>
      <c r="V10" t="s">
        <v>67</v>
      </c>
      <c r="Y10" t="s">
        <v>67</v>
      </c>
      <c r="AB10" t="s">
        <v>67</v>
      </c>
    </row>
    <row r="11" spans="1:37" x14ac:dyDescent="0.25">
      <c r="A11" t="s">
        <v>104</v>
      </c>
      <c r="B11" t="s">
        <v>105</v>
      </c>
      <c r="C11" t="s">
        <v>106</v>
      </c>
      <c r="E11" s="1">
        <v>12666.96</v>
      </c>
      <c r="F11" s="1">
        <v>0</v>
      </c>
      <c r="G11" s="1">
        <v>0</v>
      </c>
      <c r="H11" s="1">
        <v>0</v>
      </c>
      <c r="I11" s="1">
        <v>12666.96</v>
      </c>
      <c r="J11" s="1">
        <v>0</v>
      </c>
      <c r="K11" t="s">
        <v>104</v>
      </c>
      <c r="L11" t="s">
        <v>105</v>
      </c>
      <c r="M11" t="s">
        <v>92</v>
      </c>
      <c r="N11" t="s">
        <v>93</v>
      </c>
      <c r="O11" t="s">
        <v>107</v>
      </c>
      <c r="P11" t="s">
        <v>65</v>
      </c>
      <c r="Q11" t="s">
        <v>92</v>
      </c>
      <c r="S11" t="s">
        <v>95</v>
      </c>
      <c r="V11" t="s">
        <v>67</v>
      </c>
      <c r="Y11" t="s">
        <v>67</v>
      </c>
      <c r="AB11" t="s">
        <v>67</v>
      </c>
    </row>
    <row r="12" spans="1:37" x14ac:dyDescent="0.25">
      <c r="A12" t="s">
        <v>108</v>
      </c>
      <c r="B12" t="s">
        <v>109</v>
      </c>
      <c r="C12" t="s">
        <v>110</v>
      </c>
      <c r="E12" s="1">
        <v>3734.59</v>
      </c>
      <c r="F12" s="1">
        <v>0</v>
      </c>
      <c r="G12" s="1">
        <v>0</v>
      </c>
      <c r="H12" s="1">
        <v>0</v>
      </c>
      <c r="I12" s="1">
        <v>3734.59</v>
      </c>
      <c r="J12" s="1">
        <v>0</v>
      </c>
      <c r="K12" t="s">
        <v>108</v>
      </c>
      <c r="L12" t="s">
        <v>109</v>
      </c>
      <c r="M12" t="s">
        <v>92</v>
      </c>
      <c r="N12" t="s">
        <v>93</v>
      </c>
      <c r="O12" t="s">
        <v>107</v>
      </c>
      <c r="P12" t="s">
        <v>65</v>
      </c>
      <c r="Q12" t="s">
        <v>92</v>
      </c>
      <c r="S12" t="s">
        <v>95</v>
      </c>
      <c r="V12" t="s">
        <v>67</v>
      </c>
      <c r="Y12" t="s">
        <v>67</v>
      </c>
      <c r="AB12" t="s">
        <v>67</v>
      </c>
    </row>
    <row r="13" spans="1:37" x14ac:dyDescent="0.25">
      <c r="A13" t="s">
        <v>111</v>
      </c>
      <c r="B13" t="s">
        <v>112</v>
      </c>
      <c r="C13" t="s">
        <v>113</v>
      </c>
      <c r="E13" s="1">
        <v>1332</v>
      </c>
      <c r="F13" s="1">
        <v>0</v>
      </c>
      <c r="G13" s="1">
        <v>0</v>
      </c>
      <c r="H13" s="1">
        <v>0</v>
      </c>
      <c r="I13" s="1">
        <v>1332</v>
      </c>
      <c r="J13" s="1">
        <v>0</v>
      </c>
      <c r="K13" t="s">
        <v>111</v>
      </c>
      <c r="L13" t="s">
        <v>112</v>
      </c>
      <c r="M13" t="s">
        <v>92</v>
      </c>
      <c r="N13" t="s">
        <v>93</v>
      </c>
      <c r="O13" t="s">
        <v>107</v>
      </c>
      <c r="P13" t="s">
        <v>65</v>
      </c>
      <c r="Q13" t="s">
        <v>92</v>
      </c>
      <c r="S13" t="s">
        <v>95</v>
      </c>
      <c r="V13" t="s">
        <v>67</v>
      </c>
      <c r="Y13" t="s">
        <v>67</v>
      </c>
      <c r="AB13" t="s">
        <v>67</v>
      </c>
    </row>
    <row r="14" spans="1:37" x14ac:dyDescent="0.25">
      <c r="A14" t="s">
        <v>114</v>
      </c>
      <c r="B14" t="s">
        <v>115</v>
      </c>
      <c r="C14" t="s">
        <v>116</v>
      </c>
      <c r="E14" s="1">
        <v>0</v>
      </c>
      <c r="F14" s="1">
        <v>3201.85</v>
      </c>
      <c r="G14" s="1">
        <v>0</v>
      </c>
      <c r="H14" s="1">
        <v>800.47</v>
      </c>
      <c r="I14" s="1">
        <v>0</v>
      </c>
      <c r="J14" s="1">
        <v>4002.32</v>
      </c>
      <c r="K14" t="s">
        <v>60</v>
      </c>
      <c r="L14" t="s">
        <v>61</v>
      </c>
      <c r="M14" t="s">
        <v>92</v>
      </c>
      <c r="N14" t="s">
        <v>117</v>
      </c>
      <c r="O14" t="s">
        <v>118</v>
      </c>
      <c r="P14" t="s">
        <v>65</v>
      </c>
      <c r="Q14" t="s">
        <v>92</v>
      </c>
      <c r="S14" t="s">
        <v>95</v>
      </c>
      <c r="V14" t="s">
        <v>67</v>
      </c>
      <c r="Y14" t="s">
        <v>67</v>
      </c>
      <c r="AB14" t="s">
        <v>67</v>
      </c>
    </row>
    <row r="15" spans="1:37" x14ac:dyDescent="0.25">
      <c r="A15" t="s">
        <v>119</v>
      </c>
      <c r="B15" t="s">
        <v>120</v>
      </c>
      <c r="C15" t="s">
        <v>121</v>
      </c>
      <c r="E15" s="1">
        <v>0</v>
      </c>
      <c r="F15" s="1">
        <v>14865.77</v>
      </c>
      <c r="G15" s="1">
        <v>0</v>
      </c>
      <c r="H15" s="1">
        <v>3716.45</v>
      </c>
      <c r="I15" s="1">
        <v>0</v>
      </c>
      <c r="J15" s="1">
        <v>18582.22</v>
      </c>
      <c r="K15" t="s">
        <v>60</v>
      </c>
      <c r="L15" t="s">
        <v>61</v>
      </c>
      <c r="M15" t="s">
        <v>92</v>
      </c>
      <c r="N15" t="s">
        <v>117</v>
      </c>
      <c r="O15" t="s">
        <v>118</v>
      </c>
      <c r="P15" t="s">
        <v>65</v>
      </c>
      <c r="Q15" t="s">
        <v>92</v>
      </c>
      <c r="S15" t="s">
        <v>95</v>
      </c>
      <c r="V15" t="s">
        <v>67</v>
      </c>
      <c r="Y15" t="s">
        <v>67</v>
      </c>
      <c r="AB15" t="s">
        <v>67</v>
      </c>
    </row>
    <row r="16" spans="1:37" x14ac:dyDescent="0.25">
      <c r="A16" t="s">
        <v>122</v>
      </c>
      <c r="B16" t="s">
        <v>123</v>
      </c>
      <c r="C16" t="s">
        <v>124</v>
      </c>
      <c r="E16" s="1">
        <v>0</v>
      </c>
      <c r="F16" s="1">
        <v>10637.04</v>
      </c>
      <c r="G16" s="1">
        <v>0</v>
      </c>
      <c r="H16" s="1">
        <v>1838.47</v>
      </c>
      <c r="I16" s="1">
        <v>0</v>
      </c>
      <c r="J16" s="1">
        <v>12475.51</v>
      </c>
      <c r="K16" t="s">
        <v>60</v>
      </c>
      <c r="L16" t="s">
        <v>61</v>
      </c>
      <c r="M16" t="s">
        <v>92</v>
      </c>
      <c r="N16" t="s">
        <v>117</v>
      </c>
      <c r="O16" t="s">
        <v>118</v>
      </c>
      <c r="P16" t="s">
        <v>65</v>
      </c>
      <c r="Q16" t="s">
        <v>92</v>
      </c>
      <c r="S16" t="s">
        <v>95</v>
      </c>
      <c r="V16" t="s">
        <v>67</v>
      </c>
      <c r="Y16" t="s">
        <v>67</v>
      </c>
      <c r="AB16" t="s">
        <v>67</v>
      </c>
    </row>
    <row r="17" spans="1:28" x14ac:dyDescent="0.25">
      <c r="A17" t="s">
        <v>125</v>
      </c>
      <c r="B17" t="s">
        <v>126</v>
      </c>
      <c r="C17" t="s">
        <v>127</v>
      </c>
      <c r="E17" s="1">
        <v>0</v>
      </c>
      <c r="F17" s="1">
        <v>12666.96</v>
      </c>
      <c r="G17" s="1">
        <v>0</v>
      </c>
      <c r="H17" s="1">
        <v>0</v>
      </c>
      <c r="I17" s="1">
        <v>0</v>
      </c>
      <c r="J17" s="1">
        <v>12666.96</v>
      </c>
      <c r="K17" t="s">
        <v>60</v>
      </c>
      <c r="L17" t="s">
        <v>61</v>
      </c>
      <c r="M17" t="s">
        <v>92</v>
      </c>
      <c r="N17" t="s">
        <v>117</v>
      </c>
      <c r="O17" t="s">
        <v>118</v>
      </c>
      <c r="P17" t="s">
        <v>65</v>
      </c>
      <c r="Q17" t="s">
        <v>92</v>
      </c>
      <c r="S17" t="s">
        <v>95</v>
      </c>
      <c r="V17" t="s">
        <v>67</v>
      </c>
      <c r="Y17" t="s">
        <v>67</v>
      </c>
      <c r="AB17" t="s">
        <v>67</v>
      </c>
    </row>
    <row r="18" spans="1:28" x14ac:dyDescent="0.25">
      <c r="A18" t="s">
        <v>128</v>
      </c>
      <c r="B18" t="s">
        <v>129</v>
      </c>
      <c r="C18" t="s">
        <v>130</v>
      </c>
      <c r="E18" s="1">
        <v>0</v>
      </c>
      <c r="F18" s="1">
        <v>2609.52</v>
      </c>
      <c r="G18" s="1">
        <v>0</v>
      </c>
      <c r="H18" s="1">
        <v>738.86</v>
      </c>
      <c r="I18" s="1">
        <v>0</v>
      </c>
      <c r="J18" s="1">
        <v>3348.38</v>
      </c>
      <c r="K18" t="s">
        <v>60</v>
      </c>
      <c r="L18" t="s">
        <v>61</v>
      </c>
      <c r="M18" t="s">
        <v>92</v>
      </c>
      <c r="N18" t="s">
        <v>117</v>
      </c>
      <c r="O18" t="s">
        <v>118</v>
      </c>
      <c r="P18" t="s">
        <v>65</v>
      </c>
      <c r="Q18" t="s">
        <v>92</v>
      </c>
      <c r="S18" t="s">
        <v>95</v>
      </c>
      <c r="V18" t="s">
        <v>67</v>
      </c>
      <c r="Y18" t="s">
        <v>67</v>
      </c>
      <c r="AB18" t="s">
        <v>67</v>
      </c>
    </row>
    <row r="19" spans="1:28" x14ac:dyDescent="0.25">
      <c r="A19" t="s">
        <v>131</v>
      </c>
      <c r="B19" t="s">
        <v>132</v>
      </c>
      <c r="C19" t="s">
        <v>133</v>
      </c>
      <c r="E19" s="1">
        <v>0</v>
      </c>
      <c r="F19" s="1">
        <v>1332</v>
      </c>
      <c r="G19" s="1">
        <v>0</v>
      </c>
      <c r="H19" s="1">
        <v>0</v>
      </c>
      <c r="I19" s="1">
        <v>0</v>
      </c>
      <c r="J19" s="1">
        <v>1332</v>
      </c>
      <c r="K19" t="s">
        <v>60</v>
      </c>
      <c r="L19" t="s">
        <v>61</v>
      </c>
      <c r="M19" t="s">
        <v>92</v>
      </c>
      <c r="N19" t="s">
        <v>117</v>
      </c>
      <c r="O19" t="s">
        <v>118</v>
      </c>
      <c r="P19" t="s">
        <v>65</v>
      </c>
      <c r="Q19" t="s">
        <v>92</v>
      </c>
      <c r="S19" t="s">
        <v>95</v>
      </c>
      <c r="V19" t="s">
        <v>67</v>
      </c>
      <c r="Y19" t="s">
        <v>67</v>
      </c>
      <c r="AB19" t="s">
        <v>67</v>
      </c>
    </row>
    <row r="20" spans="1:28" x14ac:dyDescent="0.25">
      <c r="A20" t="s">
        <v>134</v>
      </c>
      <c r="B20" t="s">
        <v>135</v>
      </c>
      <c r="C20" t="s">
        <v>136</v>
      </c>
      <c r="E20" s="1">
        <v>0</v>
      </c>
      <c r="F20" s="1">
        <v>53947.5</v>
      </c>
      <c r="G20" s="1">
        <v>394606.96</v>
      </c>
      <c r="H20" s="1">
        <v>426523.87</v>
      </c>
      <c r="I20" s="1">
        <v>0</v>
      </c>
      <c r="J20" s="1">
        <v>85864.41</v>
      </c>
      <c r="K20" t="s">
        <v>60</v>
      </c>
      <c r="L20" t="s">
        <v>61</v>
      </c>
      <c r="M20" t="s">
        <v>137</v>
      </c>
      <c r="N20" t="s">
        <v>138</v>
      </c>
      <c r="O20" t="s">
        <v>139</v>
      </c>
      <c r="P20" t="s">
        <v>65</v>
      </c>
      <c r="Q20" t="s">
        <v>137</v>
      </c>
      <c r="S20" t="s">
        <v>140</v>
      </c>
      <c r="V20" t="s">
        <v>67</v>
      </c>
      <c r="Y20" t="s">
        <v>67</v>
      </c>
      <c r="AB20" t="s">
        <v>67</v>
      </c>
    </row>
    <row r="21" spans="1:28" x14ac:dyDescent="0.25">
      <c r="A21" t="s">
        <v>141</v>
      </c>
      <c r="B21" t="s">
        <v>142</v>
      </c>
      <c r="C21" t="s">
        <v>143</v>
      </c>
      <c r="E21" s="1">
        <v>0</v>
      </c>
      <c r="F21" s="1">
        <v>0</v>
      </c>
      <c r="G21" s="1">
        <v>0</v>
      </c>
      <c r="H21" s="1">
        <v>19329.61</v>
      </c>
      <c r="I21" s="1">
        <v>0</v>
      </c>
      <c r="J21" s="1">
        <v>19329.61</v>
      </c>
      <c r="K21" t="s">
        <v>60</v>
      </c>
      <c r="L21" t="s">
        <v>61</v>
      </c>
      <c r="M21" t="s">
        <v>137</v>
      </c>
      <c r="N21" t="s">
        <v>138</v>
      </c>
      <c r="O21" t="s">
        <v>144</v>
      </c>
      <c r="P21" t="s">
        <v>65</v>
      </c>
      <c r="Q21" t="s">
        <v>137</v>
      </c>
      <c r="S21" t="s">
        <v>140</v>
      </c>
      <c r="V21" t="s">
        <v>67</v>
      </c>
      <c r="Y21" t="s">
        <v>67</v>
      </c>
      <c r="AB21" t="s">
        <v>67</v>
      </c>
    </row>
    <row r="22" spans="1:28" x14ac:dyDescent="0.25">
      <c r="A22" t="s">
        <v>145</v>
      </c>
      <c r="B22" t="s">
        <v>146</v>
      </c>
      <c r="C22" t="s">
        <v>147</v>
      </c>
      <c r="E22" s="1">
        <v>1506.08</v>
      </c>
      <c r="F22" s="1">
        <v>0</v>
      </c>
      <c r="G22" s="1">
        <v>1009.9</v>
      </c>
      <c r="H22" s="1">
        <v>0</v>
      </c>
      <c r="I22" s="1">
        <v>2515.98</v>
      </c>
      <c r="J22" s="1">
        <v>0</v>
      </c>
      <c r="K22" t="s">
        <v>60</v>
      </c>
      <c r="L22" t="s">
        <v>61</v>
      </c>
      <c r="M22" t="s">
        <v>137</v>
      </c>
      <c r="N22" t="s">
        <v>138</v>
      </c>
      <c r="O22" t="s">
        <v>148</v>
      </c>
      <c r="P22" t="s">
        <v>65</v>
      </c>
      <c r="Q22" t="s">
        <v>137</v>
      </c>
      <c r="S22" t="s">
        <v>140</v>
      </c>
      <c r="V22" t="s">
        <v>67</v>
      </c>
      <c r="Y22" t="s">
        <v>67</v>
      </c>
      <c r="AB22" t="s">
        <v>67</v>
      </c>
    </row>
    <row r="23" spans="1:28" x14ac:dyDescent="0.25">
      <c r="A23" t="s">
        <v>149</v>
      </c>
      <c r="B23" t="s">
        <v>150</v>
      </c>
      <c r="C23" t="s">
        <v>151</v>
      </c>
      <c r="E23" s="1">
        <v>15979.67</v>
      </c>
      <c r="F23" s="1">
        <v>0</v>
      </c>
      <c r="G23" s="1">
        <v>290309.07</v>
      </c>
      <c r="H23" s="1">
        <v>272303.49</v>
      </c>
      <c r="I23" s="1">
        <v>33985.25</v>
      </c>
      <c r="J23" s="1">
        <v>0</v>
      </c>
      <c r="K23" t="s">
        <v>60</v>
      </c>
      <c r="L23" t="s">
        <v>61</v>
      </c>
      <c r="M23" t="s">
        <v>137</v>
      </c>
      <c r="N23" t="s">
        <v>152</v>
      </c>
      <c r="O23" t="s">
        <v>153</v>
      </c>
      <c r="P23" t="s">
        <v>65</v>
      </c>
      <c r="Q23" t="s">
        <v>137</v>
      </c>
      <c r="S23" t="s">
        <v>140</v>
      </c>
      <c r="V23" t="s">
        <v>67</v>
      </c>
      <c r="Y23" t="s">
        <v>67</v>
      </c>
      <c r="AB23" t="s">
        <v>67</v>
      </c>
    </row>
    <row r="24" spans="1:28" x14ac:dyDescent="0.25">
      <c r="A24" t="s">
        <v>154</v>
      </c>
      <c r="B24" t="s">
        <v>155</v>
      </c>
      <c r="C24" t="s">
        <v>156</v>
      </c>
      <c r="E24" s="1">
        <v>0</v>
      </c>
      <c r="F24" s="1">
        <v>4.3</v>
      </c>
      <c r="G24" s="1">
        <v>1839.75</v>
      </c>
      <c r="H24" s="1">
        <v>1839.75</v>
      </c>
      <c r="I24" s="1">
        <v>0</v>
      </c>
      <c r="J24" s="1">
        <v>4.3</v>
      </c>
      <c r="K24" t="s">
        <v>60</v>
      </c>
      <c r="L24" t="s">
        <v>61</v>
      </c>
      <c r="M24" t="s">
        <v>137</v>
      </c>
      <c r="N24" t="s">
        <v>152</v>
      </c>
      <c r="O24" t="s">
        <v>153</v>
      </c>
      <c r="P24" t="s">
        <v>65</v>
      </c>
      <c r="Q24" t="s">
        <v>137</v>
      </c>
      <c r="S24" t="s">
        <v>140</v>
      </c>
      <c r="V24" t="s">
        <v>67</v>
      </c>
      <c r="Y24" t="s">
        <v>67</v>
      </c>
      <c r="AB24" t="s">
        <v>67</v>
      </c>
    </row>
    <row r="25" spans="1:28" x14ac:dyDescent="0.25">
      <c r="A25" t="s">
        <v>157</v>
      </c>
      <c r="B25" t="s">
        <v>158</v>
      </c>
      <c r="C25" t="s">
        <v>159</v>
      </c>
      <c r="E25" s="1">
        <v>8479.19</v>
      </c>
      <c r="F25" s="1">
        <v>0</v>
      </c>
      <c r="G25" s="1">
        <v>3400</v>
      </c>
      <c r="H25" s="1">
        <v>4726</v>
      </c>
      <c r="I25" s="1">
        <v>7153.19</v>
      </c>
      <c r="J25" s="1">
        <v>0</v>
      </c>
      <c r="K25" t="s">
        <v>60</v>
      </c>
      <c r="L25" t="s">
        <v>61</v>
      </c>
      <c r="M25" t="s">
        <v>137</v>
      </c>
      <c r="N25" t="s">
        <v>152</v>
      </c>
      <c r="O25" t="s">
        <v>160</v>
      </c>
      <c r="P25" t="s">
        <v>65</v>
      </c>
      <c r="Q25" t="s">
        <v>137</v>
      </c>
      <c r="S25" t="s">
        <v>140</v>
      </c>
      <c r="V25" t="s">
        <v>67</v>
      </c>
      <c r="Y25" t="s">
        <v>67</v>
      </c>
      <c r="AB25" t="s">
        <v>67</v>
      </c>
    </row>
    <row r="26" spans="1:28" x14ac:dyDescent="0.25">
      <c r="A26" t="s">
        <v>161</v>
      </c>
      <c r="B26" t="s">
        <v>162</v>
      </c>
      <c r="C26" t="s">
        <v>163</v>
      </c>
      <c r="E26" s="1">
        <v>847.5</v>
      </c>
      <c r="F26" s="1">
        <v>0</v>
      </c>
      <c r="G26" s="1">
        <v>1221.3</v>
      </c>
      <c r="H26" s="1">
        <v>1233.6600000000001</v>
      </c>
      <c r="I26" s="1">
        <v>835.14</v>
      </c>
      <c r="J26" s="1">
        <v>0</v>
      </c>
      <c r="K26" t="s">
        <v>60</v>
      </c>
      <c r="L26" t="s">
        <v>61</v>
      </c>
      <c r="M26" t="s">
        <v>137</v>
      </c>
      <c r="N26" t="s">
        <v>152</v>
      </c>
      <c r="O26" t="s">
        <v>164</v>
      </c>
      <c r="P26" t="s">
        <v>65</v>
      </c>
      <c r="Q26" t="s">
        <v>137</v>
      </c>
      <c r="S26" t="s">
        <v>140</v>
      </c>
      <c r="V26" t="s">
        <v>67</v>
      </c>
      <c r="Y26" t="s">
        <v>67</v>
      </c>
      <c r="AB26" t="s">
        <v>67</v>
      </c>
    </row>
    <row r="27" spans="1:28" x14ac:dyDescent="0.25">
      <c r="A27" t="s">
        <v>165</v>
      </c>
      <c r="B27" t="s">
        <v>166</v>
      </c>
      <c r="C27" t="s">
        <v>167</v>
      </c>
      <c r="E27" s="1">
        <v>0</v>
      </c>
      <c r="F27" s="1">
        <v>44.9</v>
      </c>
      <c r="G27" s="1">
        <v>72.8</v>
      </c>
      <c r="H27" s="1">
        <v>66.400000000000006</v>
      </c>
      <c r="I27" s="1">
        <v>0</v>
      </c>
      <c r="J27" s="1">
        <v>38.5</v>
      </c>
      <c r="K27" t="s">
        <v>60</v>
      </c>
      <c r="L27" t="s">
        <v>61</v>
      </c>
      <c r="M27" t="s">
        <v>137</v>
      </c>
      <c r="N27" t="s">
        <v>152</v>
      </c>
      <c r="O27" t="s">
        <v>168</v>
      </c>
      <c r="P27" t="s">
        <v>65</v>
      </c>
      <c r="Q27" t="s">
        <v>137</v>
      </c>
      <c r="S27" t="s">
        <v>140</v>
      </c>
      <c r="V27" t="s">
        <v>67</v>
      </c>
      <c r="Y27" t="s">
        <v>67</v>
      </c>
      <c r="AB27" t="s">
        <v>67</v>
      </c>
    </row>
    <row r="28" spans="1:28" x14ac:dyDescent="0.25">
      <c r="A28" t="s">
        <v>169</v>
      </c>
      <c r="B28" t="s">
        <v>170</v>
      </c>
      <c r="C28" t="s">
        <v>171</v>
      </c>
      <c r="E28" s="1">
        <v>0</v>
      </c>
      <c r="F28" s="1">
        <v>408210.72</v>
      </c>
      <c r="G28" s="1">
        <v>408210.72</v>
      </c>
      <c r="H28" s="1">
        <v>0</v>
      </c>
      <c r="I28" s="1">
        <v>0</v>
      </c>
      <c r="J28" s="1">
        <v>0</v>
      </c>
      <c r="K28" t="s">
        <v>60</v>
      </c>
      <c r="L28" t="s">
        <v>61</v>
      </c>
      <c r="M28" t="s">
        <v>137</v>
      </c>
      <c r="N28" t="s">
        <v>172</v>
      </c>
      <c r="O28" t="s">
        <v>173</v>
      </c>
      <c r="P28" t="s">
        <v>65</v>
      </c>
      <c r="Q28" t="s">
        <v>137</v>
      </c>
      <c r="S28" t="s">
        <v>140</v>
      </c>
      <c r="V28" t="s">
        <v>67</v>
      </c>
      <c r="Y28" t="s">
        <v>67</v>
      </c>
      <c r="AB28" t="s">
        <v>67</v>
      </c>
    </row>
    <row r="29" spans="1:28" x14ac:dyDescent="0.25">
      <c r="A29" t="s">
        <v>174</v>
      </c>
      <c r="B29" t="s">
        <v>175</v>
      </c>
      <c r="C29" t="s">
        <v>176</v>
      </c>
      <c r="E29" s="1">
        <v>0</v>
      </c>
      <c r="F29" s="1">
        <v>0</v>
      </c>
      <c r="G29" s="1">
        <v>138328.6</v>
      </c>
      <c r="H29" s="1">
        <v>141918.6</v>
      </c>
      <c r="I29" s="1">
        <v>0</v>
      </c>
      <c r="J29" s="1">
        <v>3590</v>
      </c>
      <c r="K29" t="s">
        <v>60</v>
      </c>
      <c r="L29" t="s">
        <v>61</v>
      </c>
      <c r="M29" t="s">
        <v>137</v>
      </c>
      <c r="N29" t="s">
        <v>177</v>
      </c>
      <c r="O29" t="s">
        <v>178</v>
      </c>
      <c r="P29" t="s">
        <v>65</v>
      </c>
      <c r="Q29" t="s">
        <v>137</v>
      </c>
      <c r="S29" t="s">
        <v>140</v>
      </c>
      <c r="V29" t="s">
        <v>67</v>
      </c>
      <c r="Y29" t="s">
        <v>67</v>
      </c>
      <c r="AB29" t="s">
        <v>67</v>
      </c>
    </row>
    <row r="30" spans="1:28" x14ac:dyDescent="0.25">
      <c r="A30" t="s">
        <v>179</v>
      </c>
      <c r="B30" t="s">
        <v>180</v>
      </c>
      <c r="C30" t="s">
        <v>181</v>
      </c>
      <c r="E30" s="1">
        <v>17678.61</v>
      </c>
      <c r="F30" s="1">
        <v>0</v>
      </c>
      <c r="G30" s="1">
        <v>20088.63</v>
      </c>
      <c r="H30" s="1">
        <v>35152.1</v>
      </c>
      <c r="I30" s="1">
        <v>2615.14</v>
      </c>
      <c r="J30" s="1">
        <v>0</v>
      </c>
      <c r="K30" t="s">
        <v>60</v>
      </c>
      <c r="L30" t="s">
        <v>61</v>
      </c>
      <c r="M30" t="s">
        <v>137</v>
      </c>
      <c r="N30" t="s">
        <v>177</v>
      </c>
      <c r="O30" t="s">
        <v>178</v>
      </c>
      <c r="P30" t="s">
        <v>65</v>
      </c>
      <c r="Q30" t="s">
        <v>137</v>
      </c>
      <c r="S30" t="s">
        <v>140</v>
      </c>
      <c r="V30" t="s">
        <v>67</v>
      </c>
      <c r="Y30" t="s">
        <v>67</v>
      </c>
      <c r="AB30" t="s">
        <v>67</v>
      </c>
    </row>
    <row r="31" spans="1:28" x14ac:dyDescent="0.25">
      <c r="A31" t="s">
        <v>182</v>
      </c>
      <c r="B31" t="s">
        <v>183</v>
      </c>
      <c r="C31" t="s">
        <v>184</v>
      </c>
      <c r="E31" s="1">
        <v>408210.72</v>
      </c>
      <c r="F31" s="1">
        <v>0</v>
      </c>
      <c r="G31" s="1">
        <v>353467.61</v>
      </c>
      <c r="H31" s="1">
        <v>761678.33</v>
      </c>
      <c r="I31" s="1">
        <v>0</v>
      </c>
      <c r="J31" s="1">
        <v>0</v>
      </c>
      <c r="K31" t="s">
        <v>60</v>
      </c>
      <c r="L31" t="s">
        <v>61</v>
      </c>
      <c r="M31" t="s">
        <v>137</v>
      </c>
      <c r="N31" t="s">
        <v>177</v>
      </c>
      <c r="O31" t="s">
        <v>178</v>
      </c>
      <c r="P31" t="s">
        <v>65</v>
      </c>
      <c r="Q31" t="s">
        <v>137</v>
      </c>
      <c r="S31" t="s">
        <v>140</v>
      </c>
      <c r="V31" t="s">
        <v>67</v>
      </c>
      <c r="Y31" t="s">
        <v>67</v>
      </c>
      <c r="AB31" t="s">
        <v>67</v>
      </c>
    </row>
    <row r="32" spans="1:28" x14ac:dyDescent="0.25">
      <c r="A32" t="s">
        <v>185</v>
      </c>
      <c r="B32" t="s">
        <v>186</v>
      </c>
      <c r="C32" t="s">
        <v>187</v>
      </c>
      <c r="E32" s="1">
        <v>0</v>
      </c>
      <c r="F32" s="1">
        <v>14248.39</v>
      </c>
      <c r="G32" s="1">
        <v>17774.78</v>
      </c>
      <c r="H32" s="1">
        <v>5910.31</v>
      </c>
      <c r="I32" s="1">
        <v>0</v>
      </c>
      <c r="J32" s="1">
        <v>2383.92</v>
      </c>
      <c r="K32" t="s">
        <v>60</v>
      </c>
      <c r="L32" t="s">
        <v>61</v>
      </c>
      <c r="M32" t="s">
        <v>137</v>
      </c>
      <c r="N32" t="s">
        <v>177</v>
      </c>
      <c r="O32" t="s">
        <v>178</v>
      </c>
      <c r="P32" t="s">
        <v>65</v>
      </c>
      <c r="Q32" t="s">
        <v>137</v>
      </c>
      <c r="S32" t="s">
        <v>140</v>
      </c>
      <c r="V32" t="s">
        <v>67</v>
      </c>
      <c r="Y32" t="s">
        <v>67</v>
      </c>
      <c r="AB32" t="s">
        <v>67</v>
      </c>
    </row>
    <row r="33" spans="1:28" x14ac:dyDescent="0.25">
      <c r="A33" t="s">
        <v>188</v>
      </c>
      <c r="B33" t="s">
        <v>189</v>
      </c>
      <c r="C33" t="s">
        <v>190</v>
      </c>
      <c r="E33" s="1">
        <v>2310</v>
      </c>
      <c r="F33" s="1">
        <v>0</v>
      </c>
      <c r="G33" s="1">
        <v>3590.7</v>
      </c>
      <c r="H33" s="1">
        <v>0</v>
      </c>
      <c r="I33" s="1">
        <v>5900.7</v>
      </c>
      <c r="J33" s="1">
        <v>0</v>
      </c>
      <c r="K33" t="s">
        <v>60</v>
      </c>
      <c r="L33" t="s">
        <v>61</v>
      </c>
      <c r="M33" t="s">
        <v>137</v>
      </c>
      <c r="N33" t="s">
        <v>177</v>
      </c>
      <c r="O33" t="s">
        <v>178</v>
      </c>
      <c r="P33" t="s">
        <v>65</v>
      </c>
      <c r="Q33" t="s">
        <v>137</v>
      </c>
      <c r="S33" t="s">
        <v>140</v>
      </c>
      <c r="V33" t="s">
        <v>67</v>
      </c>
      <c r="Y33" t="s">
        <v>67</v>
      </c>
      <c r="AB33" t="s">
        <v>67</v>
      </c>
    </row>
    <row r="34" spans="1:28" x14ac:dyDescent="0.25">
      <c r="A34" t="s">
        <v>191</v>
      </c>
      <c r="B34" t="s">
        <v>192</v>
      </c>
      <c r="C34" t="s">
        <v>193</v>
      </c>
      <c r="E34" s="1">
        <v>0</v>
      </c>
      <c r="F34" s="1">
        <v>3776</v>
      </c>
      <c r="G34" s="1">
        <v>401716</v>
      </c>
      <c r="H34" s="1">
        <v>401716.2</v>
      </c>
      <c r="I34" s="1">
        <v>0</v>
      </c>
      <c r="J34" s="1">
        <v>3776.2</v>
      </c>
      <c r="K34" t="s">
        <v>60</v>
      </c>
      <c r="L34" t="s">
        <v>61</v>
      </c>
      <c r="M34" t="s">
        <v>137</v>
      </c>
      <c r="N34" t="s">
        <v>177</v>
      </c>
      <c r="O34" t="s">
        <v>178</v>
      </c>
      <c r="P34" t="s">
        <v>65</v>
      </c>
      <c r="Q34" t="s">
        <v>137</v>
      </c>
      <c r="S34" t="s">
        <v>140</v>
      </c>
      <c r="V34" t="s">
        <v>67</v>
      </c>
      <c r="Y34" t="s">
        <v>67</v>
      </c>
      <c r="AB34" t="s">
        <v>67</v>
      </c>
    </row>
    <row r="35" spans="1:28" x14ac:dyDescent="0.25">
      <c r="A35" t="s">
        <v>194</v>
      </c>
      <c r="B35" t="s">
        <v>195</v>
      </c>
      <c r="C35" t="s">
        <v>196</v>
      </c>
      <c r="E35" s="1">
        <v>0</v>
      </c>
      <c r="F35" s="1">
        <v>3500</v>
      </c>
      <c r="G35" s="1">
        <v>0</v>
      </c>
      <c r="H35" s="1">
        <v>0</v>
      </c>
      <c r="I35" s="1">
        <v>0</v>
      </c>
      <c r="J35" s="1">
        <v>3500</v>
      </c>
      <c r="K35" t="s">
        <v>60</v>
      </c>
      <c r="L35" t="s">
        <v>61</v>
      </c>
      <c r="M35" t="s">
        <v>137</v>
      </c>
      <c r="N35" t="s">
        <v>177</v>
      </c>
      <c r="O35" t="s">
        <v>178</v>
      </c>
      <c r="P35" t="s">
        <v>65</v>
      </c>
      <c r="Q35" t="s">
        <v>137</v>
      </c>
      <c r="S35" t="s">
        <v>140</v>
      </c>
      <c r="V35" t="s">
        <v>67</v>
      </c>
      <c r="Y35" t="s">
        <v>67</v>
      </c>
      <c r="AB35" t="s">
        <v>67</v>
      </c>
    </row>
    <row r="36" spans="1:28" x14ac:dyDescent="0.25">
      <c r="A36" t="s">
        <v>197</v>
      </c>
      <c r="B36" t="s">
        <v>198</v>
      </c>
      <c r="C36" t="s">
        <v>199</v>
      </c>
      <c r="E36" s="1">
        <v>14001.09</v>
      </c>
      <c r="F36" s="1">
        <v>0</v>
      </c>
      <c r="G36" s="1">
        <v>52710.23</v>
      </c>
      <c r="H36" s="1">
        <v>45974</v>
      </c>
      <c r="I36" s="1">
        <v>20737.32</v>
      </c>
      <c r="J36" s="1">
        <v>0</v>
      </c>
      <c r="K36" t="s">
        <v>60</v>
      </c>
      <c r="L36" t="s">
        <v>61</v>
      </c>
      <c r="M36" t="s">
        <v>137</v>
      </c>
      <c r="N36" t="s">
        <v>177</v>
      </c>
      <c r="O36" t="s">
        <v>178</v>
      </c>
      <c r="P36" t="s">
        <v>65</v>
      </c>
      <c r="Q36" t="s">
        <v>137</v>
      </c>
      <c r="S36" t="s">
        <v>140</v>
      </c>
      <c r="V36" t="s">
        <v>67</v>
      </c>
      <c r="Y36" t="s">
        <v>67</v>
      </c>
      <c r="AB36" t="s">
        <v>67</v>
      </c>
    </row>
    <row r="37" spans="1:28" x14ac:dyDescent="0.25">
      <c r="A37" t="s">
        <v>200</v>
      </c>
      <c r="B37" t="s">
        <v>201</v>
      </c>
      <c r="C37" t="s">
        <v>202</v>
      </c>
      <c r="E37" s="1">
        <v>0</v>
      </c>
      <c r="F37" s="1">
        <v>0</v>
      </c>
      <c r="G37" s="1">
        <v>25797.200000000001</v>
      </c>
      <c r="H37" s="1">
        <v>64486.400000000001</v>
      </c>
      <c r="I37" s="1">
        <v>0</v>
      </c>
      <c r="J37" s="1">
        <v>38689.199999999997</v>
      </c>
      <c r="K37" t="s">
        <v>60</v>
      </c>
      <c r="L37" t="s">
        <v>61</v>
      </c>
      <c r="M37" t="s">
        <v>137</v>
      </c>
      <c r="N37" t="s">
        <v>177</v>
      </c>
      <c r="O37" t="s">
        <v>178</v>
      </c>
      <c r="P37" t="s">
        <v>65</v>
      </c>
      <c r="Q37" t="s">
        <v>137</v>
      </c>
      <c r="S37" t="s">
        <v>140</v>
      </c>
      <c r="V37" t="s">
        <v>67</v>
      </c>
      <c r="Y37" t="s">
        <v>67</v>
      </c>
      <c r="AB37" t="s">
        <v>67</v>
      </c>
    </row>
    <row r="38" spans="1:28" x14ac:dyDescent="0.25">
      <c r="A38" t="s">
        <v>203</v>
      </c>
      <c r="B38" t="s">
        <v>204</v>
      </c>
      <c r="C38" t="s">
        <v>205</v>
      </c>
      <c r="E38" s="1">
        <v>0</v>
      </c>
      <c r="F38" s="1">
        <v>0</v>
      </c>
      <c r="G38" s="1">
        <v>0</v>
      </c>
      <c r="H38" s="1">
        <v>72844.94</v>
      </c>
      <c r="I38" s="1">
        <v>0</v>
      </c>
      <c r="J38" s="1">
        <v>72844.94</v>
      </c>
      <c r="K38" t="s">
        <v>60</v>
      </c>
      <c r="L38" t="s">
        <v>61</v>
      </c>
      <c r="M38" t="s">
        <v>137</v>
      </c>
      <c r="N38" t="s">
        <v>177</v>
      </c>
      <c r="O38" t="s">
        <v>178</v>
      </c>
      <c r="P38" t="s">
        <v>65</v>
      </c>
      <c r="Q38" t="s">
        <v>137</v>
      </c>
      <c r="S38" t="s">
        <v>140</v>
      </c>
      <c r="V38" t="s">
        <v>67</v>
      </c>
      <c r="Y38" t="s">
        <v>67</v>
      </c>
      <c r="AB38" t="s">
        <v>67</v>
      </c>
    </row>
    <row r="39" spans="1:28" x14ac:dyDescent="0.25">
      <c r="A39" t="s">
        <v>206</v>
      </c>
      <c r="B39" t="s">
        <v>207</v>
      </c>
      <c r="C39" t="s">
        <v>208</v>
      </c>
      <c r="E39" s="1">
        <v>46845.16</v>
      </c>
      <c r="F39" s="1">
        <v>0</v>
      </c>
      <c r="G39" s="1">
        <v>64264.5</v>
      </c>
      <c r="H39" s="1">
        <v>60773.4</v>
      </c>
      <c r="I39" s="1">
        <v>50336.26</v>
      </c>
      <c r="J39" s="1">
        <v>0</v>
      </c>
      <c r="K39" t="s">
        <v>60</v>
      </c>
      <c r="L39" t="s">
        <v>61</v>
      </c>
      <c r="M39" t="s">
        <v>137</v>
      </c>
      <c r="N39" t="s">
        <v>177</v>
      </c>
      <c r="O39" t="s">
        <v>178</v>
      </c>
      <c r="P39" t="s">
        <v>65</v>
      </c>
      <c r="Q39" t="s">
        <v>137</v>
      </c>
      <c r="S39" t="s">
        <v>140</v>
      </c>
      <c r="V39" t="s">
        <v>67</v>
      </c>
      <c r="Y39" t="s">
        <v>67</v>
      </c>
      <c r="AB39" t="s">
        <v>67</v>
      </c>
    </row>
    <row r="40" spans="1:28" x14ac:dyDescent="0.25">
      <c r="A40" t="s">
        <v>209</v>
      </c>
      <c r="B40" t="s">
        <v>210</v>
      </c>
      <c r="C40" t="s">
        <v>211</v>
      </c>
      <c r="E40" s="1">
        <v>0</v>
      </c>
      <c r="F40" s="1">
        <v>15385.35</v>
      </c>
      <c r="G40" s="1">
        <v>0</v>
      </c>
      <c r="H40" s="1">
        <v>0</v>
      </c>
      <c r="I40" s="1">
        <v>0</v>
      </c>
      <c r="J40" s="1">
        <v>15385.35</v>
      </c>
      <c r="K40" t="s">
        <v>60</v>
      </c>
      <c r="L40" t="s">
        <v>61</v>
      </c>
      <c r="M40" t="s">
        <v>137</v>
      </c>
      <c r="N40" t="s">
        <v>177</v>
      </c>
      <c r="O40" t="s">
        <v>178</v>
      </c>
      <c r="P40" t="s">
        <v>65</v>
      </c>
      <c r="Q40" t="s">
        <v>137</v>
      </c>
      <c r="S40" t="s">
        <v>140</v>
      </c>
      <c r="V40" t="s">
        <v>67</v>
      </c>
      <c r="Y40" t="s">
        <v>67</v>
      </c>
      <c r="AB40" t="s">
        <v>67</v>
      </c>
    </row>
    <row r="41" spans="1:28" x14ac:dyDescent="0.25">
      <c r="A41" t="s">
        <v>212</v>
      </c>
      <c r="B41" t="s">
        <v>213</v>
      </c>
      <c r="C41" t="s">
        <v>214</v>
      </c>
      <c r="E41" s="1">
        <v>0</v>
      </c>
      <c r="F41" s="1">
        <v>16502.86</v>
      </c>
      <c r="G41" s="1">
        <v>0</v>
      </c>
      <c r="H41" s="1">
        <v>0</v>
      </c>
      <c r="I41" s="1">
        <v>0</v>
      </c>
      <c r="J41" s="1">
        <v>16502.86</v>
      </c>
      <c r="K41" t="s">
        <v>60</v>
      </c>
      <c r="L41" t="s">
        <v>61</v>
      </c>
      <c r="M41" t="s">
        <v>137</v>
      </c>
      <c r="N41" t="s">
        <v>177</v>
      </c>
      <c r="O41" t="s">
        <v>178</v>
      </c>
      <c r="P41" t="s">
        <v>65</v>
      </c>
      <c r="Q41" t="s">
        <v>137</v>
      </c>
      <c r="S41" t="s">
        <v>140</v>
      </c>
      <c r="V41" t="s">
        <v>67</v>
      </c>
      <c r="Y41" t="s">
        <v>67</v>
      </c>
      <c r="AB41" t="s">
        <v>67</v>
      </c>
    </row>
    <row r="42" spans="1:28" x14ac:dyDescent="0.25">
      <c r="A42" t="s">
        <v>215</v>
      </c>
      <c r="B42" t="s">
        <v>216</v>
      </c>
      <c r="C42" t="s">
        <v>217</v>
      </c>
      <c r="E42" s="1">
        <v>0</v>
      </c>
      <c r="F42" s="1">
        <v>32116.01</v>
      </c>
      <c r="G42" s="1">
        <v>0</v>
      </c>
      <c r="H42" s="1">
        <v>0</v>
      </c>
      <c r="I42" s="1">
        <v>0</v>
      </c>
      <c r="J42" s="1">
        <v>32116.01</v>
      </c>
      <c r="K42" t="s">
        <v>60</v>
      </c>
      <c r="L42" t="s">
        <v>61</v>
      </c>
      <c r="M42" t="s">
        <v>137</v>
      </c>
      <c r="N42" t="s">
        <v>177</v>
      </c>
      <c r="O42" t="s">
        <v>178</v>
      </c>
      <c r="P42" t="s">
        <v>65</v>
      </c>
      <c r="Q42" t="s">
        <v>137</v>
      </c>
      <c r="S42" t="s">
        <v>140</v>
      </c>
      <c r="V42" t="s">
        <v>67</v>
      </c>
      <c r="Y42" t="s">
        <v>67</v>
      </c>
      <c r="AB42" t="s">
        <v>67</v>
      </c>
    </row>
    <row r="43" spans="1:28" x14ac:dyDescent="0.25">
      <c r="A43" t="s">
        <v>218</v>
      </c>
      <c r="B43" t="s">
        <v>219</v>
      </c>
      <c r="C43" t="s">
        <v>220</v>
      </c>
      <c r="E43" s="1">
        <v>0</v>
      </c>
      <c r="F43" s="1">
        <v>9532.27</v>
      </c>
      <c r="G43" s="1">
        <v>0</v>
      </c>
      <c r="H43" s="1">
        <v>0</v>
      </c>
      <c r="I43" s="1">
        <v>0</v>
      </c>
      <c r="J43" s="1">
        <v>9532.27</v>
      </c>
      <c r="K43" t="s">
        <v>60</v>
      </c>
      <c r="L43" t="s">
        <v>61</v>
      </c>
      <c r="M43" t="s">
        <v>137</v>
      </c>
      <c r="N43" t="s">
        <v>177</v>
      </c>
      <c r="O43" t="s">
        <v>178</v>
      </c>
      <c r="P43" t="s">
        <v>65</v>
      </c>
      <c r="Q43" t="s">
        <v>137</v>
      </c>
      <c r="S43" t="s">
        <v>140</v>
      </c>
      <c r="V43" t="s">
        <v>67</v>
      </c>
      <c r="Y43" t="s">
        <v>67</v>
      </c>
      <c r="AB43" t="s">
        <v>67</v>
      </c>
    </row>
    <row r="44" spans="1:28" x14ac:dyDescent="0.25">
      <c r="A44" t="s">
        <v>221</v>
      </c>
      <c r="B44" t="s">
        <v>222</v>
      </c>
      <c r="C44" t="s">
        <v>223</v>
      </c>
      <c r="E44" s="1">
        <v>0</v>
      </c>
      <c r="F44" s="1">
        <v>17946.89</v>
      </c>
      <c r="G44" s="1">
        <v>0</v>
      </c>
      <c r="H44" s="1">
        <v>0</v>
      </c>
      <c r="I44" s="1">
        <v>0</v>
      </c>
      <c r="J44" s="1">
        <v>17946.89</v>
      </c>
      <c r="K44" t="s">
        <v>60</v>
      </c>
      <c r="L44" t="s">
        <v>61</v>
      </c>
      <c r="M44" t="s">
        <v>137</v>
      </c>
      <c r="N44" t="s">
        <v>177</v>
      </c>
      <c r="O44" t="s">
        <v>178</v>
      </c>
      <c r="P44" t="s">
        <v>65</v>
      </c>
      <c r="Q44" t="s">
        <v>137</v>
      </c>
      <c r="S44" t="s">
        <v>140</v>
      </c>
      <c r="V44" t="s">
        <v>67</v>
      </c>
      <c r="Y44" t="s">
        <v>67</v>
      </c>
      <c r="AB44" t="s">
        <v>67</v>
      </c>
    </row>
    <row r="45" spans="1:28" x14ac:dyDescent="0.25">
      <c r="A45" t="s">
        <v>224</v>
      </c>
      <c r="B45" t="s">
        <v>225</v>
      </c>
      <c r="C45" t="s">
        <v>226</v>
      </c>
      <c r="E45" s="1">
        <v>0</v>
      </c>
      <c r="F45" s="1">
        <v>10304</v>
      </c>
      <c r="G45" s="1">
        <v>0</v>
      </c>
      <c r="H45" s="1">
        <v>0</v>
      </c>
      <c r="I45" s="1">
        <v>0</v>
      </c>
      <c r="J45" s="1">
        <v>10304</v>
      </c>
      <c r="K45" t="s">
        <v>60</v>
      </c>
      <c r="L45" t="s">
        <v>61</v>
      </c>
      <c r="M45" t="s">
        <v>137</v>
      </c>
      <c r="N45" t="s">
        <v>177</v>
      </c>
      <c r="O45" t="s">
        <v>178</v>
      </c>
      <c r="P45" t="s">
        <v>65</v>
      </c>
      <c r="Q45" t="s">
        <v>137</v>
      </c>
      <c r="S45" t="s">
        <v>140</v>
      </c>
      <c r="V45" t="s">
        <v>67</v>
      </c>
      <c r="Y45" t="s">
        <v>67</v>
      </c>
      <c r="AB45" t="s">
        <v>67</v>
      </c>
    </row>
    <row r="46" spans="1:28" x14ac:dyDescent="0.25">
      <c r="A46" t="s">
        <v>227</v>
      </c>
      <c r="B46" t="s">
        <v>228</v>
      </c>
      <c r="C46" t="s">
        <v>229</v>
      </c>
      <c r="E46" s="1">
        <v>0</v>
      </c>
      <c r="F46" s="1">
        <v>50945.440000000002</v>
      </c>
      <c r="G46" s="1">
        <v>0</v>
      </c>
      <c r="H46" s="1">
        <v>0</v>
      </c>
      <c r="I46" s="1">
        <v>0</v>
      </c>
      <c r="J46" s="1">
        <v>50945.440000000002</v>
      </c>
      <c r="K46" t="s">
        <v>60</v>
      </c>
      <c r="L46" t="s">
        <v>61</v>
      </c>
      <c r="M46" t="s">
        <v>137</v>
      </c>
      <c r="N46" t="s">
        <v>177</v>
      </c>
      <c r="O46" t="s">
        <v>178</v>
      </c>
      <c r="P46" t="s">
        <v>65</v>
      </c>
      <c r="Q46" t="s">
        <v>137</v>
      </c>
      <c r="S46" t="s">
        <v>140</v>
      </c>
      <c r="V46" t="s">
        <v>67</v>
      </c>
      <c r="Y46" t="s">
        <v>67</v>
      </c>
      <c r="AB46" t="s">
        <v>67</v>
      </c>
    </row>
    <row r="47" spans="1:28" x14ac:dyDescent="0.25">
      <c r="A47" t="s">
        <v>230</v>
      </c>
      <c r="B47" t="s">
        <v>231</v>
      </c>
      <c r="C47" t="s">
        <v>232</v>
      </c>
      <c r="E47" s="1">
        <v>30592.61</v>
      </c>
      <c r="F47" s="1">
        <v>0</v>
      </c>
      <c r="G47" s="1">
        <v>152514</v>
      </c>
      <c r="H47" s="1">
        <v>151441</v>
      </c>
      <c r="I47" s="1">
        <v>31665.61</v>
      </c>
      <c r="J47" s="1">
        <v>0</v>
      </c>
      <c r="K47" t="s">
        <v>60</v>
      </c>
      <c r="L47" t="s">
        <v>61</v>
      </c>
      <c r="M47" t="s">
        <v>137</v>
      </c>
      <c r="N47" t="s">
        <v>177</v>
      </c>
      <c r="O47" t="s">
        <v>233</v>
      </c>
      <c r="P47" t="s">
        <v>65</v>
      </c>
      <c r="Q47" t="s">
        <v>137</v>
      </c>
      <c r="S47" t="s">
        <v>140</v>
      </c>
      <c r="V47" t="s">
        <v>67</v>
      </c>
      <c r="Y47" t="s">
        <v>67</v>
      </c>
      <c r="AB47" t="s">
        <v>67</v>
      </c>
    </row>
    <row r="48" spans="1:28" x14ac:dyDescent="0.25">
      <c r="A48" t="s">
        <v>234</v>
      </c>
      <c r="B48" t="s">
        <v>235</v>
      </c>
      <c r="C48" t="s">
        <v>236</v>
      </c>
      <c r="E48" s="1">
        <v>0</v>
      </c>
      <c r="F48" s="1">
        <v>207</v>
      </c>
      <c r="G48" s="1">
        <v>425.4</v>
      </c>
      <c r="H48" s="1">
        <v>218.4</v>
      </c>
      <c r="I48" s="1">
        <v>0</v>
      </c>
      <c r="J48" s="1">
        <v>0</v>
      </c>
      <c r="K48" t="s">
        <v>60</v>
      </c>
      <c r="L48" t="s">
        <v>61</v>
      </c>
      <c r="M48" t="s">
        <v>137</v>
      </c>
      <c r="N48" t="s">
        <v>237</v>
      </c>
      <c r="O48" t="s">
        <v>238</v>
      </c>
      <c r="P48" t="s">
        <v>65</v>
      </c>
      <c r="Q48" t="s">
        <v>137</v>
      </c>
      <c r="S48" t="s">
        <v>140</v>
      </c>
      <c r="V48" t="s">
        <v>67</v>
      </c>
      <c r="Y48" t="s">
        <v>67</v>
      </c>
      <c r="AB48" t="s">
        <v>67</v>
      </c>
    </row>
    <row r="49" spans="1:28" x14ac:dyDescent="0.25">
      <c r="A49" t="s">
        <v>239</v>
      </c>
      <c r="B49" t="s">
        <v>240</v>
      </c>
      <c r="C49" t="s">
        <v>241</v>
      </c>
      <c r="E49" s="1">
        <v>0</v>
      </c>
      <c r="F49" s="1">
        <v>3300.12</v>
      </c>
      <c r="G49" s="1">
        <v>2403.06</v>
      </c>
      <c r="H49" s="1">
        <v>2874.26</v>
      </c>
      <c r="I49" s="1">
        <v>0</v>
      </c>
      <c r="J49" s="1">
        <v>3771.32</v>
      </c>
      <c r="K49" t="s">
        <v>60</v>
      </c>
      <c r="L49" t="s">
        <v>61</v>
      </c>
      <c r="M49" t="s">
        <v>137</v>
      </c>
      <c r="N49" t="s">
        <v>237</v>
      </c>
      <c r="O49" t="s">
        <v>238</v>
      </c>
      <c r="P49" t="s">
        <v>65</v>
      </c>
      <c r="Q49" t="s">
        <v>137</v>
      </c>
      <c r="S49" t="s">
        <v>140</v>
      </c>
      <c r="V49" t="s">
        <v>67</v>
      </c>
      <c r="Y49" t="s">
        <v>67</v>
      </c>
      <c r="AB49" t="s">
        <v>67</v>
      </c>
    </row>
    <row r="50" spans="1:28" x14ac:dyDescent="0.25">
      <c r="A50" t="s">
        <v>242</v>
      </c>
      <c r="B50" t="s">
        <v>243</v>
      </c>
      <c r="C50" t="s">
        <v>244</v>
      </c>
      <c r="E50" s="1">
        <v>0</v>
      </c>
      <c r="F50" s="1">
        <v>88776.88</v>
      </c>
      <c r="G50" s="1">
        <v>267.3</v>
      </c>
      <c r="H50" s="1">
        <v>267.3</v>
      </c>
      <c r="I50" s="1">
        <v>0</v>
      </c>
      <c r="J50" s="1">
        <v>88776.88</v>
      </c>
      <c r="K50" t="s">
        <v>60</v>
      </c>
      <c r="L50" t="s">
        <v>61</v>
      </c>
      <c r="M50" t="s">
        <v>137</v>
      </c>
      <c r="N50" t="s">
        <v>237</v>
      </c>
      <c r="O50" t="s">
        <v>238</v>
      </c>
      <c r="P50" t="s">
        <v>65</v>
      </c>
      <c r="Q50" t="s">
        <v>137</v>
      </c>
      <c r="S50" t="s">
        <v>140</v>
      </c>
      <c r="V50" t="s">
        <v>67</v>
      </c>
      <c r="Y50" t="s">
        <v>67</v>
      </c>
      <c r="AB50" t="s">
        <v>67</v>
      </c>
    </row>
    <row r="51" spans="1:28" x14ac:dyDescent="0.25">
      <c r="A51" t="s">
        <v>245</v>
      </c>
      <c r="B51" t="s">
        <v>246</v>
      </c>
      <c r="C51" t="s">
        <v>247</v>
      </c>
      <c r="E51" s="1">
        <v>0</v>
      </c>
      <c r="F51" s="1">
        <v>4452</v>
      </c>
      <c r="G51" s="1">
        <v>116388.96</v>
      </c>
      <c r="H51" s="1">
        <v>141083.66</v>
      </c>
      <c r="I51" s="1">
        <v>0</v>
      </c>
      <c r="J51" s="1">
        <v>29146.7</v>
      </c>
      <c r="K51" t="s">
        <v>60</v>
      </c>
      <c r="L51" t="s">
        <v>61</v>
      </c>
      <c r="M51" t="s">
        <v>137</v>
      </c>
      <c r="N51" t="s">
        <v>237</v>
      </c>
      <c r="O51" t="s">
        <v>238</v>
      </c>
      <c r="P51" t="s">
        <v>65</v>
      </c>
      <c r="Q51" t="s">
        <v>137</v>
      </c>
      <c r="S51" t="s">
        <v>140</v>
      </c>
      <c r="V51" t="s">
        <v>67</v>
      </c>
      <c r="Y51" t="s">
        <v>67</v>
      </c>
      <c r="AB51" t="s">
        <v>67</v>
      </c>
    </row>
    <row r="52" spans="1:28" x14ac:dyDescent="0.25">
      <c r="A52" t="s">
        <v>248</v>
      </c>
      <c r="B52" t="s">
        <v>249</v>
      </c>
      <c r="C52" t="s">
        <v>250</v>
      </c>
      <c r="E52" s="1">
        <v>0</v>
      </c>
      <c r="F52" s="1">
        <v>0</v>
      </c>
      <c r="G52" s="1">
        <v>15660.66</v>
      </c>
      <c r="H52" s="1">
        <v>0</v>
      </c>
      <c r="I52" s="1">
        <v>15660.66</v>
      </c>
      <c r="J52" s="1">
        <v>0</v>
      </c>
      <c r="K52" t="s">
        <v>60</v>
      </c>
      <c r="L52" t="s">
        <v>61</v>
      </c>
      <c r="M52" t="s">
        <v>137</v>
      </c>
      <c r="N52" t="s">
        <v>237</v>
      </c>
      <c r="O52" t="s">
        <v>251</v>
      </c>
      <c r="P52" t="s">
        <v>65</v>
      </c>
      <c r="Q52" t="s">
        <v>137</v>
      </c>
      <c r="S52" t="s">
        <v>140</v>
      </c>
      <c r="V52" t="s">
        <v>67</v>
      </c>
      <c r="Y52" t="s">
        <v>67</v>
      </c>
      <c r="AB52" t="s">
        <v>67</v>
      </c>
    </row>
    <row r="53" spans="1:28" x14ac:dyDescent="0.25">
      <c r="A53" t="s">
        <v>252</v>
      </c>
      <c r="B53" t="s">
        <v>253</v>
      </c>
      <c r="C53" t="s">
        <v>254</v>
      </c>
      <c r="E53" s="1">
        <v>0</v>
      </c>
      <c r="F53" s="1">
        <v>4686.3</v>
      </c>
      <c r="G53" s="1">
        <v>0</v>
      </c>
      <c r="H53" s="1">
        <v>0</v>
      </c>
      <c r="I53" s="1">
        <v>0</v>
      </c>
      <c r="J53" s="1">
        <v>4686.3</v>
      </c>
      <c r="K53" t="s">
        <v>60</v>
      </c>
      <c r="L53" t="s">
        <v>61</v>
      </c>
      <c r="M53" t="s">
        <v>137</v>
      </c>
      <c r="N53" t="s">
        <v>237</v>
      </c>
      <c r="O53" t="s">
        <v>255</v>
      </c>
      <c r="P53" t="s">
        <v>65</v>
      </c>
      <c r="Q53" t="s">
        <v>137</v>
      </c>
      <c r="S53" t="s">
        <v>140</v>
      </c>
      <c r="V53" t="s">
        <v>67</v>
      </c>
      <c r="Y53" t="s">
        <v>67</v>
      </c>
      <c r="AB53" t="s">
        <v>67</v>
      </c>
    </row>
    <row r="54" spans="1:28" x14ac:dyDescent="0.25">
      <c r="A54" t="s">
        <v>256</v>
      </c>
      <c r="B54" t="s">
        <v>257</v>
      </c>
      <c r="C54" t="s">
        <v>258</v>
      </c>
      <c r="E54" s="1">
        <v>0</v>
      </c>
      <c r="F54" s="1">
        <v>1178.2</v>
      </c>
      <c r="G54" s="1">
        <v>0</v>
      </c>
      <c r="H54" s="1">
        <v>0</v>
      </c>
      <c r="I54" s="1">
        <v>0</v>
      </c>
      <c r="J54" s="1">
        <v>1178.2</v>
      </c>
      <c r="K54" t="s">
        <v>60</v>
      </c>
      <c r="L54" t="s">
        <v>61</v>
      </c>
      <c r="M54" t="s">
        <v>137</v>
      </c>
      <c r="N54" t="s">
        <v>259</v>
      </c>
      <c r="O54" t="s">
        <v>260</v>
      </c>
      <c r="P54" t="s">
        <v>65</v>
      </c>
      <c r="Q54" t="s">
        <v>137</v>
      </c>
      <c r="S54" t="s">
        <v>140</v>
      </c>
      <c r="V54" t="s">
        <v>67</v>
      </c>
      <c r="Y54" t="s">
        <v>67</v>
      </c>
      <c r="AB54" t="s">
        <v>67</v>
      </c>
    </row>
    <row r="55" spans="1:28" x14ac:dyDescent="0.25">
      <c r="A55" t="s">
        <v>261</v>
      </c>
      <c r="B55" t="s">
        <v>262</v>
      </c>
      <c r="C55" t="s">
        <v>263</v>
      </c>
      <c r="E55" s="1">
        <v>0</v>
      </c>
      <c r="F55" s="1">
        <v>0</v>
      </c>
      <c r="G55" s="1">
        <v>354.75</v>
      </c>
      <c r="H55" s="1">
        <v>354.75</v>
      </c>
      <c r="I55" s="1">
        <v>0</v>
      </c>
      <c r="J55" s="1">
        <v>0</v>
      </c>
      <c r="K55" t="s">
        <v>60</v>
      </c>
      <c r="L55" t="s">
        <v>61</v>
      </c>
      <c r="M55" t="s">
        <v>137</v>
      </c>
      <c r="N55" t="s">
        <v>259</v>
      </c>
      <c r="O55" t="s">
        <v>264</v>
      </c>
      <c r="P55" t="s">
        <v>65</v>
      </c>
      <c r="Q55" t="s">
        <v>137</v>
      </c>
      <c r="S55" t="s">
        <v>140</v>
      </c>
      <c r="V55" t="s">
        <v>67</v>
      </c>
      <c r="Y55" t="s">
        <v>67</v>
      </c>
      <c r="AB55" t="s">
        <v>67</v>
      </c>
    </row>
    <row r="56" spans="1:28" x14ac:dyDescent="0.25">
      <c r="A56" t="s">
        <v>265</v>
      </c>
      <c r="B56" t="s">
        <v>266</v>
      </c>
      <c r="C56" t="s">
        <v>267</v>
      </c>
      <c r="E56" s="1">
        <v>0</v>
      </c>
      <c r="F56" s="1">
        <v>0</v>
      </c>
      <c r="G56" s="1">
        <v>118909.12</v>
      </c>
      <c r="H56" s="1">
        <v>118909.12</v>
      </c>
      <c r="I56" s="1">
        <v>0</v>
      </c>
      <c r="J56" s="1">
        <v>0</v>
      </c>
      <c r="K56" t="s">
        <v>60</v>
      </c>
      <c r="L56" t="s">
        <v>61</v>
      </c>
      <c r="M56" t="s">
        <v>137</v>
      </c>
      <c r="N56" t="s">
        <v>259</v>
      </c>
      <c r="O56" t="s">
        <v>264</v>
      </c>
      <c r="P56" t="s">
        <v>65</v>
      </c>
      <c r="Q56" t="s">
        <v>137</v>
      </c>
      <c r="S56" t="s">
        <v>140</v>
      </c>
      <c r="V56" t="s">
        <v>67</v>
      </c>
      <c r="Y56" t="s">
        <v>67</v>
      </c>
      <c r="AB56" t="s">
        <v>67</v>
      </c>
    </row>
    <row r="57" spans="1:28" x14ac:dyDescent="0.25">
      <c r="A57" t="s">
        <v>268</v>
      </c>
      <c r="B57" t="s">
        <v>269</v>
      </c>
      <c r="C57" t="s">
        <v>270</v>
      </c>
      <c r="E57" s="1">
        <v>661.16</v>
      </c>
      <c r="F57" s="1">
        <v>0</v>
      </c>
      <c r="G57" s="1">
        <v>15288.67</v>
      </c>
      <c r="H57" s="1">
        <v>13312.57</v>
      </c>
      <c r="I57" s="1">
        <v>2637.26</v>
      </c>
      <c r="J57" s="1">
        <v>0</v>
      </c>
      <c r="K57" t="s">
        <v>60</v>
      </c>
      <c r="L57" t="s">
        <v>61</v>
      </c>
      <c r="M57" t="s">
        <v>271</v>
      </c>
      <c r="N57" t="s">
        <v>272</v>
      </c>
      <c r="O57" t="s">
        <v>273</v>
      </c>
      <c r="P57" t="s">
        <v>65</v>
      </c>
      <c r="Q57" t="s">
        <v>271</v>
      </c>
      <c r="S57" t="s">
        <v>274</v>
      </c>
      <c r="V57" t="s">
        <v>67</v>
      </c>
      <c r="Y57" t="s">
        <v>67</v>
      </c>
      <c r="AB57" t="s">
        <v>67</v>
      </c>
    </row>
    <row r="58" spans="1:28" x14ac:dyDescent="0.25">
      <c r="A58" t="s">
        <v>275</v>
      </c>
      <c r="B58" t="s">
        <v>276</v>
      </c>
      <c r="C58" t="s">
        <v>277</v>
      </c>
      <c r="E58" s="1">
        <v>0</v>
      </c>
      <c r="F58" s="1">
        <v>387.1</v>
      </c>
      <c r="G58" s="1">
        <v>50597.66</v>
      </c>
      <c r="H58" s="1">
        <v>50461.86</v>
      </c>
      <c r="I58" s="1">
        <v>0</v>
      </c>
      <c r="J58" s="1">
        <v>251.3</v>
      </c>
      <c r="K58" t="s">
        <v>60</v>
      </c>
      <c r="L58" t="s">
        <v>61</v>
      </c>
      <c r="M58" t="s">
        <v>271</v>
      </c>
      <c r="N58" t="s">
        <v>272</v>
      </c>
      <c r="O58" t="s">
        <v>273</v>
      </c>
      <c r="P58" t="s">
        <v>65</v>
      </c>
      <c r="Q58" t="s">
        <v>271</v>
      </c>
      <c r="S58" t="s">
        <v>274</v>
      </c>
      <c r="V58" t="s">
        <v>67</v>
      </c>
      <c r="Y58" t="s">
        <v>67</v>
      </c>
      <c r="AB58" t="s">
        <v>67</v>
      </c>
    </row>
    <row r="59" spans="1:28" x14ac:dyDescent="0.25">
      <c r="A59" t="s">
        <v>278</v>
      </c>
      <c r="B59" t="s">
        <v>279</v>
      </c>
      <c r="C59" t="s">
        <v>280</v>
      </c>
      <c r="E59" s="1">
        <v>3082.94</v>
      </c>
      <c r="F59" s="1">
        <v>0</v>
      </c>
      <c r="G59" s="1">
        <v>66.400000000000006</v>
      </c>
      <c r="H59" s="1">
        <v>163.19999999999999</v>
      </c>
      <c r="I59" s="1">
        <v>2986.14</v>
      </c>
      <c r="J59" s="1">
        <v>0</v>
      </c>
      <c r="K59" t="s">
        <v>60</v>
      </c>
      <c r="L59" t="s">
        <v>61</v>
      </c>
      <c r="M59" t="s">
        <v>271</v>
      </c>
      <c r="N59" t="s">
        <v>272</v>
      </c>
      <c r="O59" t="s">
        <v>273</v>
      </c>
      <c r="P59" t="s">
        <v>65</v>
      </c>
      <c r="Q59" t="s">
        <v>271</v>
      </c>
      <c r="S59" t="s">
        <v>274</v>
      </c>
      <c r="V59" t="s">
        <v>67</v>
      </c>
      <c r="Y59" t="s">
        <v>67</v>
      </c>
      <c r="AB59" t="s">
        <v>67</v>
      </c>
    </row>
    <row r="60" spans="1:28" x14ac:dyDescent="0.25">
      <c r="A60" t="s">
        <v>281</v>
      </c>
      <c r="B60" t="s">
        <v>282</v>
      </c>
      <c r="C60" t="s">
        <v>283</v>
      </c>
      <c r="E60" s="1">
        <v>442495.06</v>
      </c>
      <c r="F60" s="1">
        <v>0</v>
      </c>
      <c r="G60" s="1">
        <v>1099117.74</v>
      </c>
      <c r="H60" s="1">
        <v>980328.04</v>
      </c>
      <c r="I60" s="1">
        <v>561284.76</v>
      </c>
      <c r="J60" s="1">
        <v>0</v>
      </c>
      <c r="K60" t="s">
        <v>60</v>
      </c>
      <c r="L60" t="s">
        <v>61</v>
      </c>
      <c r="M60" t="s">
        <v>271</v>
      </c>
      <c r="N60" t="s">
        <v>272</v>
      </c>
      <c r="O60" t="s">
        <v>284</v>
      </c>
      <c r="P60" t="s">
        <v>65</v>
      </c>
      <c r="Q60" t="s">
        <v>271</v>
      </c>
      <c r="S60" t="s">
        <v>274</v>
      </c>
      <c r="V60" t="s">
        <v>67</v>
      </c>
      <c r="Y60" t="s">
        <v>67</v>
      </c>
      <c r="AB60" t="s">
        <v>67</v>
      </c>
    </row>
    <row r="61" spans="1:28" x14ac:dyDescent="0.25">
      <c r="A61" t="s">
        <v>285</v>
      </c>
      <c r="B61" t="s">
        <v>286</v>
      </c>
      <c r="C61" t="s">
        <v>287</v>
      </c>
      <c r="E61" s="1">
        <v>0</v>
      </c>
      <c r="F61" s="1">
        <v>61160.14</v>
      </c>
      <c r="G61" s="1">
        <v>518919.89</v>
      </c>
      <c r="H61" s="1">
        <v>513626.28</v>
      </c>
      <c r="I61" s="1">
        <v>0</v>
      </c>
      <c r="J61" s="1">
        <v>55866.53</v>
      </c>
      <c r="K61" t="s">
        <v>60</v>
      </c>
      <c r="L61" t="s">
        <v>61</v>
      </c>
      <c r="M61" t="s">
        <v>271</v>
      </c>
      <c r="N61" t="s">
        <v>272</v>
      </c>
      <c r="O61" t="s">
        <v>284</v>
      </c>
      <c r="P61" t="s">
        <v>65</v>
      </c>
      <c r="Q61" t="s">
        <v>271</v>
      </c>
      <c r="S61" t="s">
        <v>274</v>
      </c>
      <c r="V61" t="s">
        <v>67</v>
      </c>
      <c r="Y61" t="s">
        <v>67</v>
      </c>
      <c r="AB61" t="s">
        <v>67</v>
      </c>
    </row>
    <row r="62" spans="1:28" x14ac:dyDescent="0.25">
      <c r="A62" t="s">
        <v>288</v>
      </c>
      <c r="B62" t="s">
        <v>289</v>
      </c>
      <c r="C62" t="s">
        <v>290</v>
      </c>
      <c r="E62" s="1">
        <v>1357.89</v>
      </c>
      <c r="F62" s="1">
        <v>0</v>
      </c>
      <c r="G62" s="1">
        <v>13843.88</v>
      </c>
      <c r="H62" s="1">
        <v>9173.3799999999992</v>
      </c>
      <c r="I62" s="1">
        <v>6028.39</v>
      </c>
      <c r="J62" s="1">
        <v>0</v>
      </c>
      <c r="K62" t="s">
        <v>60</v>
      </c>
      <c r="L62" t="s">
        <v>61</v>
      </c>
      <c r="M62" t="s">
        <v>271</v>
      </c>
      <c r="N62" t="s">
        <v>291</v>
      </c>
      <c r="O62" t="s">
        <v>292</v>
      </c>
      <c r="P62" t="s">
        <v>65</v>
      </c>
      <c r="Q62" t="s">
        <v>271</v>
      </c>
      <c r="S62" t="s">
        <v>274</v>
      </c>
      <c r="V62" t="s">
        <v>67</v>
      </c>
      <c r="Y62" t="s">
        <v>67</v>
      </c>
      <c r="AB62" t="s">
        <v>67</v>
      </c>
    </row>
    <row r="63" spans="1:28" x14ac:dyDescent="0.25">
      <c r="A63" t="s">
        <v>293</v>
      </c>
      <c r="B63" t="s">
        <v>294</v>
      </c>
      <c r="C63" t="s">
        <v>295</v>
      </c>
      <c r="E63" s="1">
        <v>60820.69</v>
      </c>
      <c r="F63" s="1">
        <v>0</v>
      </c>
      <c r="G63" s="1">
        <v>6185.7</v>
      </c>
      <c r="H63" s="1">
        <v>6154.9</v>
      </c>
      <c r="I63" s="1">
        <v>60851.49</v>
      </c>
      <c r="J63" s="1">
        <v>0</v>
      </c>
      <c r="K63" t="s">
        <v>60</v>
      </c>
      <c r="L63" t="s">
        <v>61</v>
      </c>
      <c r="M63" t="s">
        <v>271</v>
      </c>
      <c r="N63" t="s">
        <v>296</v>
      </c>
      <c r="O63" t="s">
        <v>297</v>
      </c>
      <c r="P63" t="s">
        <v>65</v>
      </c>
      <c r="Q63" t="s">
        <v>271</v>
      </c>
      <c r="S63" t="s">
        <v>274</v>
      </c>
      <c r="V63" t="s">
        <v>67</v>
      </c>
      <c r="Y63" t="s">
        <v>67</v>
      </c>
      <c r="AB63" t="s">
        <v>67</v>
      </c>
    </row>
    <row r="64" spans="1:28" x14ac:dyDescent="0.25">
      <c r="A64" t="s">
        <v>298</v>
      </c>
      <c r="B64" t="s">
        <v>299</v>
      </c>
      <c r="C64" t="s">
        <v>300</v>
      </c>
      <c r="E64" s="1">
        <v>0</v>
      </c>
      <c r="F64" s="1">
        <v>0</v>
      </c>
      <c r="G64" s="1">
        <v>1161.3</v>
      </c>
      <c r="H64" s="1">
        <v>309.25</v>
      </c>
      <c r="I64" s="1">
        <v>852.05</v>
      </c>
      <c r="J64" s="1">
        <v>0</v>
      </c>
      <c r="K64" t="s">
        <v>298</v>
      </c>
      <c r="L64" t="s">
        <v>299</v>
      </c>
      <c r="M64" t="s">
        <v>301</v>
      </c>
      <c r="N64" t="s">
        <v>302</v>
      </c>
      <c r="O64" t="s">
        <v>303</v>
      </c>
      <c r="P64" t="s">
        <v>65</v>
      </c>
      <c r="Q64" t="s">
        <v>301</v>
      </c>
      <c r="S64" t="s">
        <v>304</v>
      </c>
      <c r="V64" t="s">
        <v>67</v>
      </c>
      <c r="Y64" t="s">
        <v>67</v>
      </c>
      <c r="AB64" t="s">
        <v>67</v>
      </c>
    </row>
    <row r="65" spans="1:28" x14ac:dyDescent="0.25">
      <c r="A65" t="s">
        <v>305</v>
      </c>
      <c r="B65" t="s">
        <v>306</v>
      </c>
      <c r="C65" t="s">
        <v>307</v>
      </c>
      <c r="E65" s="1">
        <v>0</v>
      </c>
      <c r="F65" s="1">
        <v>0</v>
      </c>
      <c r="G65" s="1">
        <v>19518.7</v>
      </c>
      <c r="H65" s="1">
        <v>0</v>
      </c>
      <c r="I65" s="1">
        <v>19518.7</v>
      </c>
      <c r="J65" s="1">
        <v>0</v>
      </c>
      <c r="K65" t="s">
        <v>305</v>
      </c>
      <c r="L65" t="s">
        <v>306</v>
      </c>
      <c r="M65" t="s">
        <v>301</v>
      </c>
      <c r="N65" t="s">
        <v>302</v>
      </c>
      <c r="O65" t="s">
        <v>308</v>
      </c>
      <c r="P65" t="s">
        <v>65</v>
      </c>
      <c r="Q65" t="s">
        <v>301</v>
      </c>
      <c r="S65" t="s">
        <v>304</v>
      </c>
      <c r="V65" t="s">
        <v>67</v>
      </c>
      <c r="Y65" t="s">
        <v>67</v>
      </c>
      <c r="AB65" t="s">
        <v>67</v>
      </c>
    </row>
    <row r="66" spans="1:28" x14ac:dyDescent="0.25">
      <c r="A66" t="s">
        <v>309</v>
      </c>
      <c r="B66" t="s">
        <v>310</v>
      </c>
      <c r="C66" t="s">
        <v>311</v>
      </c>
      <c r="E66" s="1">
        <v>0</v>
      </c>
      <c r="F66" s="1">
        <v>0</v>
      </c>
      <c r="G66" s="1">
        <v>32401.72</v>
      </c>
      <c r="H66" s="1">
        <v>0</v>
      </c>
      <c r="I66" s="1">
        <v>32401.72</v>
      </c>
      <c r="J66" s="1">
        <v>0</v>
      </c>
      <c r="K66" t="s">
        <v>309</v>
      </c>
      <c r="L66" t="s">
        <v>310</v>
      </c>
      <c r="M66" t="s">
        <v>301</v>
      </c>
      <c r="N66" t="s">
        <v>302</v>
      </c>
      <c r="O66" t="s">
        <v>308</v>
      </c>
      <c r="P66" t="s">
        <v>65</v>
      </c>
      <c r="Q66" t="s">
        <v>301</v>
      </c>
      <c r="S66" t="s">
        <v>304</v>
      </c>
      <c r="V66" t="s">
        <v>67</v>
      </c>
      <c r="Y66" t="s">
        <v>67</v>
      </c>
      <c r="AB66" t="s">
        <v>67</v>
      </c>
    </row>
    <row r="67" spans="1:28" x14ac:dyDescent="0.25">
      <c r="A67" t="s">
        <v>312</v>
      </c>
      <c r="B67" t="s">
        <v>313</v>
      </c>
      <c r="C67" t="s">
        <v>314</v>
      </c>
      <c r="E67" s="1">
        <v>0</v>
      </c>
      <c r="F67" s="1">
        <v>0</v>
      </c>
      <c r="G67" s="1">
        <v>1105.26</v>
      </c>
      <c r="H67" s="1">
        <v>0</v>
      </c>
      <c r="I67" s="1">
        <v>1105.26</v>
      </c>
      <c r="J67" s="1">
        <v>0</v>
      </c>
      <c r="K67" t="s">
        <v>312</v>
      </c>
      <c r="L67" t="s">
        <v>313</v>
      </c>
      <c r="M67" t="s">
        <v>301</v>
      </c>
      <c r="N67" t="s">
        <v>302</v>
      </c>
      <c r="O67" t="s">
        <v>308</v>
      </c>
      <c r="P67" t="s">
        <v>65</v>
      </c>
      <c r="Q67" t="s">
        <v>301</v>
      </c>
      <c r="S67" t="s">
        <v>304</v>
      </c>
      <c r="V67" t="s">
        <v>67</v>
      </c>
      <c r="Y67" t="s">
        <v>67</v>
      </c>
      <c r="AB67" t="s">
        <v>67</v>
      </c>
    </row>
    <row r="68" spans="1:28" x14ac:dyDescent="0.25">
      <c r="A68" t="s">
        <v>315</v>
      </c>
      <c r="B68" t="s">
        <v>316</v>
      </c>
      <c r="C68" t="s">
        <v>317</v>
      </c>
      <c r="E68" s="1">
        <v>0</v>
      </c>
      <c r="F68" s="1">
        <v>0</v>
      </c>
      <c r="G68" s="1">
        <v>13065.52</v>
      </c>
      <c r="H68" s="1">
        <v>0</v>
      </c>
      <c r="I68" s="1">
        <v>13065.52</v>
      </c>
      <c r="J68" s="1">
        <v>0</v>
      </c>
      <c r="K68" t="s">
        <v>315</v>
      </c>
      <c r="L68" t="s">
        <v>316</v>
      </c>
      <c r="M68" t="s">
        <v>301</v>
      </c>
      <c r="N68" t="s">
        <v>302</v>
      </c>
      <c r="O68" t="s">
        <v>308</v>
      </c>
      <c r="P68" t="s">
        <v>65</v>
      </c>
      <c r="Q68" t="s">
        <v>301</v>
      </c>
      <c r="S68" t="s">
        <v>304</v>
      </c>
      <c r="V68" t="s">
        <v>67</v>
      </c>
      <c r="Y68" t="s">
        <v>67</v>
      </c>
      <c r="AB68" t="s">
        <v>67</v>
      </c>
    </row>
    <row r="69" spans="1:28" x14ac:dyDescent="0.25">
      <c r="A69" t="s">
        <v>318</v>
      </c>
      <c r="B69" t="s">
        <v>319</v>
      </c>
      <c r="C69" t="s">
        <v>320</v>
      </c>
      <c r="E69" s="1">
        <v>0</v>
      </c>
      <c r="F69" s="1">
        <v>0</v>
      </c>
      <c r="G69" s="1">
        <v>2817.04</v>
      </c>
      <c r="H69" s="1">
        <v>0</v>
      </c>
      <c r="I69" s="1">
        <v>2817.04</v>
      </c>
      <c r="J69" s="1">
        <v>0</v>
      </c>
      <c r="K69" t="s">
        <v>318</v>
      </c>
      <c r="L69" t="s">
        <v>319</v>
      </c>
      <c r="M69" t="s">
        <v>301</v>
      </c>
      <c r="N69" t="s">
        <v>302</v>
      </c>
      <c r="O69" t="s">
        <v>308</v>
      </c>
      <c r="P69" t="s">
        <v>65</v>
      </c>
      <c r="Q69" t="s">
        <v>301</v>
      </c>
      <c r="S69" t="s">
        <v>304</v>
      </c>
      <c r="V69" t="s">
        <v>67</v>
      </c>
      <c r="Y69" t="s">
        <v>67</v>
      </c>
      <c r="AB69" t="s">
        <v>67</v>
      </c>
    </row>
    <row r="70" spans="1:28" x14ac:dyDescent="0.25">
      <c r="A70" t="s">
        <v>321</v>
      </c>
      <c r="B70" t="s">
        <v>322</v>
      </c>
      <c r="C70" t="s">
        <v>323</v>
      </c>
      <c r="E70" s="1">
        <v>0</v>
      </c>
      <c r="F70" s="1">
        <v>0</v>
      </c>
      <c r="G70" s="1">
        <v>22.9</v>
      </c>
      <c r="H70" s="1">
        <v>0</v>
      </c>
      <c r="I70" s="1">
        <v>22.9</v>
      </c>
      <c r="J70" s="1">
        <v>0</v>
      </c>
      <c r="K70" t="s">
        <v>321</v>
      </c>
      <c r="L70" t="s">
        <v>322</v>
      </c>
      <c r="M70" t="s">
        <v>301</v>
      </c>
      <c r="N70" t="s">
        <v>302</v>
      </c>
      <c r="O70" t="s">
        <v>308</v>
      </c>
      <c r="P70" t="s">
        <v>65</v>
      </c>
      <c r="Q70" t="s">
        <v>301</v>
      </c>
      <c r="S70" t="s">
        <v>304</v>
      </c>
      <c r="V70" t="s">
        <v>67</v>
      </c>
      <c r="Y70" t="s">
        <v>67</v>
      </c>
      <c r="AB70" t="s">
        <v>67</v>
      </c>
    </row>
    <row r="71" spans="1:28" x14ac:dyDescent="0.25">
      <c r="A71" t="s">
        <v>324</v>
      </c>
      <c r="B71" t="s">
        <v>325</v>
      </c>
      <c r="C71" t="s">
        <v>326</v>
      </c>
      <c r="E71" s="1">
        <v>0</v>
      </c>
      <c r="F71" s="1">
        <v>0</v>
      </c>
      <c r="G71" s="1">
        <v>293</v>
      </c>
      <c r="H71" s="1">
        <v>0</v>
      </c>
      <c r="I71" s="1">
        <v>293</v>
      </c>
      <c r="J71" s="1">
        <v>0</v>
      </c>
      <c r="K71" t="s">
        <v>324</v>
      </c>
      <c r="L71" t="s">
        <v>325</v>
      </c>
      <c r="M71" t="s">
        <v>301</v>
      </c>
      <c r="N71" t="s">
        <v>302</v>
      </c>
      <c r="O71" t="s">
        <v>308</v>
      </c>
      <c r="P71" t="s">
        <v>65</v>
      </c>
      <c r="Q71" t="s">
        <v>301</v>
      </c>
      <c r="S71" t="s">
        <v>304</v>
      </c>
      <c r="V71" t="s">
        <v>67</v>
      </c>
      <c r="Y71" t="s">
        <v>67</v>
      </c>
      <c r="AB71" t="s">
        <v>67</v>
      </c>
    </row>
    <row r="72" spans="1:28" x14ac:dyDescent="0.25">
      <c r="A72" t="s">
        <v>327</v>
      </c>
      <c r="B72" t="s">
        <v>328</v>
      </c>
      <c r="C72" t="s">
        <v>329</v>
      </c>
      <c r="E72" s="1">
        <v>0</v>
      </c>
      <c r="F72" s="1">
        <v>0</v>
      </c>
      <c r="G72" s="1">
        <v>9271.11</v>
      </c>
      <c r="H72" s="1">
        <v>0</v>
      </c>
      <c r="I72" s="1">
        <v>9271.11</v>
      </c>
      <c r="J72" s="1">
        <v>0</v>
      </c>
      <c r="K72" t="s">
        <v>327</v>
      </c>
      <c r="L72" t="s">
        <v>328</v>
      </c>
      <c r="M72" t="s">
        <v>301</v>
      </c>
      <c r="N72" t="s">
        <v>302</v>
      </c>
      <c r="O72" t="s">
        <v>308</v>
      </c>
      <c r="P72" t="s">
        <v>65</v>
      </c>
      <c r="Q72" t="s">
        <v>301</v>
      </c>
      <c r="S72" t="s">
        <v>304</v>
      </c>
      <c r="V72" t="s">
        <v>67</v>
      </c>
      <c r="Y72" t="s">
        <v>67</v>
      </c>
      <c r="AB72" t="s">
        <v>67</v>
      </c>
    </row>
    <row r="73" spans="1:28" x14ac:dyDescent="0.25">
      <c r="A73" t="s">
        <v>330</v>
      </c>
      <c r="B73" t="s">
        <v>331</v>
      </c>
      <c r="C73" t="s">
        <v>332</v>
      </c>
      <c r="E73" s="1">
        <v>0</v>
      </c>
      <c r="F73" s="1">
        <v>0</v>
      </c>
      <c r="G73" s="1">
        <v>9995.2900000000009</v>
      </c>
      <c r="H73" s="1">
        <v>0</v>
      </c>
      <c r="I73" s="1">
        <v>9995.2900000000009</v>
      </c>
      <c r="J73" s="1">
        <v>0</v>
      </c>
      <c r="K73" t="s">
        <v>330</v>
      </c>
      <c r="L73" t="s">
        <v>331</v>
      </c>
      <c r="M73" t="s">
        <v>301</v>
      </c>
      <c r="N73" t="s">
        <v>302</v>
      </c>
      <c r="O73" t="s">
        <v>308</v>
      </c>
      <c r="P73" t="s">
        <v>65</v>
      </c>
      <c r="Q73" t="s">
        <v>301</v>
      </c>
      <c r="S73" t="s">
        <v>304</v>
      </c>
      <c r="V73" t="s">
        <v>67</v>
      </c>
      <c r="Y73" t="s">
        <v>67</v>
      </c>
      <c r="AB73" t="s">
        <v>67</v>
      </c>
    </row>
    <row r="74" spans="1:28" x14ac:dyDescent="0.25">
      <c r="A74" t="s">
        <v>333</v>
      </c>
      <c r="B74" t="s">
        <v>334</v>
      </c>
      <c r="C74" t="s">
        <v>335</v>
      </c>
      <c r="E74" s="1">
        <v>0</v>
      </c>
      <c r="F74" s="1">
        <v>0</v>
      </c>
      <c r="G74" s="1">
        <v>639.83000000000004</v>
      </c>
      <c r="H74" s="1">
        <v>0</v>
      </c>
      <c r="I74" s="1">
        <v>639.83000000000004</v>
      </c>
      <c r="J74" s="1">
        <v>0</v>
      </c>
      <c r="K74" t="s">
        <v>333</v>
      </c>
      <c r="L74" t="s">
        <v>334</v>
      </c>
      <c r="M74" t="s">
        <v>301</v>
      </c>
      <c r="N74" t="s">
        <v>302</v>
      </c>
      <c r="O74" t="s">
        <v>308</v>
      </c>
      <c r="P74" t="s">
        <v>65</v>
      </c>
      <c r="Q74" t="s">
        <v>301</v>
      </c>
      <c r="S74" t="s">
        <v>304</v>
      </c>
      <c r="V74" t="s">
        <v>67</v>
      </c>
      <c r="Y74" t="s">
        <v>67</v>
      </c>
      <c r="AB74" t="s">
        <v>67</v>
      </c>
    </row>
    <row r="75" spans="1:28" x14ac:dyDescent="0.25">
      <c r="A75" t="s">
        <v>336</v>
      </c>
      <c r="B75" t="s">
        <v>337</v>
      </c>
      <c r="C75" t="s">
        <v>338</v>
      </c>
      <c r="E75" s="1">
        <v>0</v>
      </c>
      <c r="F75" s="1">
        <v>0</v>
      </c>
      <c r="G75" s="1">
        <v>6831.5</v>
      </c>
      <c r="H75" s="1">
        <v>10.31</v>
      </c>
      <c r="I75" s="1">
        <v>6821.19</v>
      </c>
      <c r="J75" s="1">
        <v>0</v>
      </c>
      <c r="K75" t="s">
        <v>336</v>
      </c>
      <c r="L75" t="s">
        <v>337</v>
      </c>
      <c r="M75" t="s">
        <v>301</v>
      </c>
      <c r="N75" t="s">
        <v>302</v>
      </c>
      <c r="O75" t="s">
        <v>308</v>
      </c>
      <c r="P75" t="s">
        <v>65</v>
      </c>
      <c r="Q75" t="s">
        <v>301</v>
      </c>
      <c r="S75" t="s">
        <v>304</v>
      </c>
      <c r="V75" t="s">
        <v>67</v>
      </c>
      <c r="Y75" t="s">
        <v>67</v>
      </c>
      <c r="AB75" t="s">
        <v>67</v>
      </c>
    </row>
    <row r="76" spans="1:28" x14ac:dyDescent="0.25">
      <c r="A76" t="s">
        <v>339</v>
      </c>
      <c r="B76" t="s">
        <v>340</v>
      </c>
      <c r="C76" t="s">
        <v>341</v>
      </c>
      <c r="E76" s="1">
        <v>0</v>
      </c>
      <c r="F76" s="1">
        <v>0</v>
      </c>
      <c r="G76" s="1">
        <v>35038.910000000003</v>
      </c>
      <c r="H76" s="1">
        <v>0</v>
      </c>
      <c r="I76" s="1">
        <v>35038.910000000003</v>
      </c>
      <c r="J76" s="1">
        <v>0</v>
      </c>
      <c r="K76" t="s">
        <v>339</v>
      </c>
      <c r="L76" t="s">
        <v>340</v>
      </c>
      <c r="M76" t="s">
        <v>301</v>
      </c>
      <c r="N76" t="s">
        <v>302</v>
      </c>
      <c r="O76" t="s">
        <v>308</v>
      </c>
      <c r="P76" t="s">
        <v>65</v>
      </c>
      <c r="Q76" t="s">
        <v>301</v>
      </c>
      <c r="S76" t="s">
        <v>304</v>
      </c>
      <c r="V76" t="s">
        <v>67</v>
      </c>
      <c r="Y76" t="s">
        <v>67</v>
      </c>
      <c r="AB76" t="s">
        <v>67</v>
      </c>
    </row>
    <row r="77" spans="1:28" x14ac:dyDescent="0.25">
      <c r="A77" t="s">
        <v>342</v>
      </c>
      <c r="B77" t="s">
        <v>343</v>
      </c>
      <c r="C77" t="s">
        <v>344</v>
      </c>
      <c r="E77" s="1">
        <v>0</v>
      </c>
      <c r="F77" s="1">
        <v>0</v>
      </c>
      <c r="G77" s="1">
        <v>156842.01999999999</v>
      </c>
      <c r="H77" s="1">
        <v>690.34</v>
      </c>
      <c r="I77" s="1">
        <v>156151.67999999999</v>
      </c>
      <c r="J77" s="1">
        <v>0</v>
      </c>
      <c r="K77" t="s">
        <v>342</v>
      </c>
      <c r="L77" t="s">
        <v>343</v>
      </c>
      <c r="M77" t="s">
        <v>301</v>
      </c>
      <c r="N77" t="s">
        <v>345</v>
      </c>
      <c r="O77" t="s">
        <v>346</v>
      </c>
      <c r="P77" t="s">
        <v>65</v>
      </c>
      <c r="Q77" t="s">
        <v>301</v>
      </c>
      <c r="S77" t="s">
        <v>304</v>
      </c>
      <c r="V77" t="s">
        <v>67</v>
      </c>
      <c r="Y77" t="s">
        <v>67</v>
      </c>
      <c r="AB77" t="s">
        <v>67</v>
      </c>
    </row>
    <row r="78" spans="1:28" x14ac:dyDescent="0.25">
      <c r="A78" t="s">
        <v>347</v>
      </c>
      <c r="B78" t="s">
        <v>348</v>
      </c>
      <c r="C78" t="s">
        <v>349</v>
      </c>
      <c r="E78" s="1">
        <v>0</v>
      </c>
      <c r="F78" s="1">
        <v>0</v>
      </c>
      <c r="G78" s="1">
        <v>8229.1200000000008</v>
      </c>
      <c r="H78" s="1">
        <v>0</v>
      </c>
      <c r="I78" s="1">
        <v>8229.1200000000008</v>
      </c>
      <c r="J78" s="1">
        <v>0</v>
      </c>
      <c r="K78" t="s">
        <v>347</v>
      </c>
      <c r="L78" t="s">
        <v>348</v>
      </c>
      <c r="M78" t="s">
        <v>301</v>
      </c>
      <c r="N78" t="s">
        <v>345</v>
      </c>
      <c r="O78" t="s">
        <v>346</v>
      </c>
      <c r="P78" t="s">
        <v>65</v>
      </c>
      <c r="Q78" t="s">
        <v>301</v>
      </c>
      <c r="S78" t="s">
        <v>304</v>
      </c>
      <c r="V78" t="s">
        <v>67</v>
      </c>
      <c r="Y78" t="s">
        <v>67</v>
      </c>
      <c r="AB78" t="s">
        <v>67</v>
      </c>
    </row>
    <row r="79" spans="1:28" x14ac:dyDescent="0.25">
      <c r="A79" t="s">
        <v>350</v>
      </c>
      <c r="B79" t="s">
        <v>351</v>
      </c>
      <c r="C79" t="s">
        <v>352</v>
      </c>
      <c r="E79" s="1">
        <v>0</v>
      </c>
      <c r="F79" s="1">
        <v>0</v>
      </c>
      <c r="G79" s="1">
        <v>14209.63</v>
      </c>
      <c r="H79" s="1">
        <v>0</v>
      </c>
      <c r="I79" s="1">
        <v>14209.63</v>
      </c>
      <c r="J79" s="1">
        <v>0</v>
      </c>
      <c r="K79" t="s">
        <v>350</v>
      </c>
      <c r="L79" t="s">
        <v>351</v>
      </c>
      <c r="M79" t="s">
        <v>301</v>
      </c>
      <c r="N79" t="s">
        <v>345</v>
      </c>
      <c r="O79" t="s">
        <v>346</v>
      </c>
      <c r="P79" t="s">
        <v>65</v>
      </c>
      <c r="Q79" t="s">
        <v>301</v>
      </c>
      <c r="S79" t="s">
        <v>304</v>
      </c>
      <c r="V79" t="s">
        <v>67</v>
      </c>
      <c r="Y79" t="s">
        <v>67</v>
      </c>
      <c r="AB79" t="s">
        <v>67</v>
      </c>
    </row>
    <row r="80" spans="1:28" x14ac:dyDescent="0.25">
      <c r="A80" t="s">
        <v>353</v>
      </c>
      <c r="B80" t="s">
        <v>354</v>
      </c>
      <c r="C80" t="s">
        <v>355</v>
      </c>
      <c r="E80" s="1">
        <v>0</v>
      </c>
      <c r="F80" s="1">
        <v>0</v>
      </c>
      <c r="G80" s="1">
        <v>1719.8</v>
      </c>
      <c r="H80" s="1">
        <v>0</v>
      </c>
      <c r="I80" s="1">
        <v>1719.8</v>
      </c>
      <c r="J80" s="1">
        <v>0</v>
      </c>
      <c r="K80" t="s">
        <v>353</v>
      </c>
      <c r="L80" t="s">
        <v>354</v>
      </c>
      <c r="M80" t="s">
        <v>301</v>
      </c>
      <c r="N80" t="s">
        <v>345</v>
      </c>
      <c r="O80" t="s">
        <v>356</v>
      </c>
      <c r="P80" t="s">
        <v>65</v>
      </c>
      <c r="Q80" t="s">
        <v>301</v>
      </c>
      <c r="S80" t="s">
        <v>304</v>
      </c>
      <c r="V80" t="s">
        <v>67</v>
      </c>
      <c r="Y80" t="s">
        <v>67</v>
      </c>
      <c r="AB80" t="s">
        <v>67</v>
      </c>
    </row>
    <row r="81" spans="1:28" x14ac:dyDescent="0.25">
      <c r="A81" t="s">
        <v>357</v>
      </c>
      <c r="B81" t="s">
        <v>358</v>
      </c>
      <c r="C81" t="s">
        <v>359</v>
      </c>
      <c r="E81" s="1">
        <v>0</v>
      </c>
      <c r="F81" s="1">
        <v>0</v>
      </c>
      <c r="G81" s="1">
        <v>40670.82</v>
      </c>
      <c r="H81" s="1">
        <v>0</v>
      </c>
      <c r="I81" s="1">
        <v>40670.82</v>
      </c>
      <c r="J81" s="1">
        <v>0</v>
      </c>
      <c r="K81" t="s">
        <v>357</v>
      </c>
      <c r="L81" t="s">
        <v>358</v>
      </c>
      <c r="M81" t="s">
        <v>301</v>
      </c>
      <c r="N81" t="s">
        <v>345</v>
      </c>
      <c r="O81" t="s">
        <v>360</v>
      </c>
      <c r="P81" t="s">
        <v>65</v>
      </c>
      <c r="Q81" t="s">
        <v>301</v>
      </c>
      <c r="S81" t="s">
        <v>304</v>
      </c>
      <c r="V81" t="s">
        <v>67</v>
      </c>
      <c r="Y81" t="s">
        <v>67</v>
      </c>
      <c r="AB81" t="s">
        <v>67</v>
      </c>
    </row>
    <row r="82" spans="1:28" x14ac:dyDescent="0.25">
      <c r="A82" t="s">
        <v>361</v>
      </c>
      <c r="B82" t="s">
        <v>362</v>
      </c>
      <c r="C82" t="s">
        <v>363</v>
      </c>
      <c r="E82" s="1">
        <v>0</v>
      </c>
      <c r="F82" s="1">
        <v>0</v>
      </c>
      <c r="G82" s="1">
        <v>238.96</v>
      </c>
      <c r="H82" s="1">
        <v>0</v>
      </c>
      <c r="I82" s="1">
        <v>238.96</v>
      </c>
      <c r="J82" s="1">
        <v>0</v>
      </c>
      <c r="K82" t="s">
        <v>361</v>
      </c>
      <c r="L82" t="s">
        <v>362</v>
      </c>
      <c r="M82" t="s">
        <v>301</v>
      </c>
      <c r="N82" t="s">
        <v>345</v>
      </c>
      <c r="O82" t="s">
        <v>364</v>
      </c>
      <c r="P82" t="s">
        <v>65</v>
      </c>
      <c r="Q82" t="s">
        <v>301</v>
      </c>
      <c r="S82" t="s">
        <v>304</v>
      </c>
      <c r="V82" t="s">
        <v>67</v>
      </c>
      <c r="Y82" t="s">
        <v>67</v>
      </c>
      <c r="AB82" t="s">
        <v>67</v>
      </c>
    </row>
    <row r="83" spans="1:28" x14ac:dyDescent="0.25">
      <c r="A83" t="s">
        <v>365</v>
      </c>
      <c r="B83" t="s">
        <v>366</v>
      </c>
      <c r="C83" t="s">
        <v>367</v>
      </c>
      <c r="E83" s="1">
        <v>0</v>
      </c>
      <c r="F83" s="1">
        <v>0</v>
      </c>
      <c r="G83" s="1">
        <v>2112.27</v>
      </c>
      <c r="H83" s="1">
        <v>0</v>
      </c>
      <c r="I83" s="1">
        <v>2112.27</v>
      </c>
      <c r="J83" s="1">
        <v>0</v>
      </c>
      <c r="K83" t="s">
        <v>365</v>
      </c>
      <c r="L83" t="s">
        <v>366</v>
      </c>
      <c r="M83" t="s">
        <v>301</v>
      </c>
      <c r="N83" t="s">
        <v>345</v>
      </c>
      <c r="O83" t="s">
        <v>368</v>
      </c>
      <c r="P83" t="s">
        <v>65</v>
      </c>
      <c r="Q83" t="s">
        <v>301</v>
      </c>
      <c r="S83" t="s">
        <v>304</v>
      </c>
      <c r="V83" t="s">
        <v>67</v>
      </c>
      <c r="Y83" t="s">
        <v>67</v>
      </c>
      <c r="AB83" t="s">
        <v>67</v>
      </c>
    </row>
    <row r="84" spans="1:28" x14ac:dyDescent="0.25">
      <c r="A84" t="s">
        <v>369</v>
      </c>
      <c r="B84" t="s">
        <v>370</v>
      </c>
      <c r="C84" t="s">
        <v>371</v>
      </c>
      <c r="E84" s="1">
        <v>0</v>
      </c>
      <c r="F84" s="1">
        <v>0</v>
      </c>
      <c r="G84" s="1">
        <v>740.28</v>
      </c>
      <c r="H84" s="1">
        <v>0</v>
      </c>
      <c r="I84" s="1">
        <v>740.28</v>
      </c>
      <c r="J84" s="1">
        <v>0</v>
      </c>
      <c r="K84" t="s">
        <v>369</v>
      </c>
      <c r="L84" t="s">
        <v>370</v>
      </c>
      <c r="M84" t="s">
        <v>301</v>
      </c>
      <c r="N84" t="s">
        <v>345</v>
      </c>
      <c r="O84" t="s">
        <v>372</v>
      </c>
      <c r="P84" t="s">
        <v>65</v>
      </c>
      <c r="Q84" t="s">
        <v>301</v>
      </c>
      <c r="S84" t="s">
        <v>304</v>
      </c>
      <c r="V84" t="s">
        <v>67</v>
      </c>
      <c r="Y84" t="s">
        <v>67</v>
      </c>
      <c r="AB84" t="s">
        <v>67</v>
      </c>
    </row>
    <row r="85" spans="1:28" x14ac:dyDescent="0.25">
      <c r="A85" t="s">
        <v>373</v>
      </c>
      <c r="B85" t="s">
        <v>374</v>
      </c>
      <c r="C85" t="s">
        <v>375</v>
      </c>
      <c r="E85" s="1">
        <v>0</v>
      </c>
      <c r="F85" s="1">
        <v>0</v>
      </c>
      <c r="G85" s="1">
        <v>738.58</v>
      </c>
      <c r="H85" s="1">
        <v>0</v>
      </c>
      <c r="I85" s="1">
        <v>738.58</v>
      </c>
      <c r="J85" s="1">
        <v>0</v>
      </c>
      <c r="K85" t="s">
        <v>373</v>
      </c>
      <c r="L85" t="s">
        <v>374</v>
      </c>
      <c r="M85" t="s">
        <v>301</v>
      </c>
      <c r="N85" t="s">
        <v>345</v>
      </c>
      <c r="O85" t="s">
        <v>372</v>
      </c>
      <c r="P85" t="s">
        <v>65</v>
      </c>
      <c r="Q85" t="s">
        <v>301</v>
      </c>
      <c r="S85" t="s">
        <v>304</v>
      </c>
      <c r="V85" t="s">
        <v>67</v>
      </c>
      <c r="Y85" t="s">
        <v>67</v>
      </c>
      <c r="AB85" t="s">
        <v>67</v>
      </c>
    </row>
    <row r="86" spans="1:28" x14ac:dyDescent="0.25">
      <c r="A86" t="s">
        <v>376</v>
      </c>
      <c r="B86" t="s">
        <v>377</v>
      </c>
      <c r="C86" t="s">
        <v>378</v>
      </c>
      <c r="E86" s="1">
        <v>0</v>
      </c>
      <c r="F86" s="1">
        <v>0</v>
      </c>
      <c r="G86" s="1">
        <v>2593</v>
      </c>
      <c r="H86" s="1">
        <v>0</v>
      </c>
      <c r="I86" s="1">
        <v>2593</v>
      </c>
      <c r="J86" s="1">
        <v>0</v>
      </c>
      <c r="K86" t="s">
        <v>376</v>
      </c>
      <c r="L86" t="s">
        <v>377</v>
      </c>
      <c r="M86" t="s">
        <v>301</v>
      </c>
      <c r="N86" t="s">
        <v>379</v>
      </c>
      <c r="O86" t="s">
        <v>380</v>
      </c>
      <c r="P86" t="s">
        <v>65</v>
      </c>
      <c r="Q86" t="s">
        <v>301</v>
      </c>
      <c r="S86" t="s">
        <v>304</v>
      </c>
      <c r="V86" t="s">
        <v>67</v>
      </c>
      <c r="Y86" t="s">
        <v>67</v>
      </c>
      <c r="AB86" t="s">
        <v>67</v>
      </c>
    </row>
    <row r="87" spans="1:28" x14ac:dyDescent="0.25">
      <c r="A87" t="s">
        <v>381</v>
      </c>
      <c r="B87" t="s">
        <v>382</v>
      </c>
      <c r="C87" t="s">
        <v>383</v>
      </c>
      <c r="E87" s="1">
        <v>0</v>
      </c>
      <c r="F87" s="1">
        <v>0</v>
      </c>
      <c r="G87" s="1">
        <v>1399.9</v>
      </c>
      <c r="H87" s="1">
        <v>0</v>
      </c>
      <c r="I87" s="1">
        <v>1399.9</v>
      </c>
      <c r="J87" s="1">
        <v>0</v>
      </c>
      <c r="K87" t="s">
        <v>381</v>
      </c>
      <c r="L87" t="s">
        <v>382</v>
      </c>
      <c r="M87" t="s">
        <v>301</v>
      </c>
      <c r="N87" t="s">
        <v>379</v>
      </c>
      <c r="O87" t="s">
        <v>384</v>
      </c>
      <c r="P87" t="s">
        <v>65</v>
      </c>
      <c r="Q87" t="s">
        <v>301</v>
      </c>
      <c r="S87" t="s">
        <v>304</v>
      </c>
      <c r="V87" t="s">
        <v>67</v>
      </c>
      <c r="Y87" t="s">
        <v>67</v>
      </c>
      <c r="AB87" t="s">
        <v>67</v>
      </c>
    </row>
    <row r="88" spans="1:28" x14ac:dyDescent="0.25">
      <c r="A88" t="s">
        <v>385</v>
      </c>
      <c r="B88" t="s">
        <v>386</v>
      </c>
      <c r="C88" t="s">
        <v>387</v>
      </c>
      <c r="E88" s="1">
        <v>0</v>
      </c>
      <c r="F88" s="1">
        <v>0</v>
      </c>
      <c r="G88" s="1">
        <v>21086.41</v>
      </c>
      <c r="H88" s="1">
        <v>0</v>
      </c>
      <c r="I88" s="1">
        <v>21086.41</v>
      </c>
      <c r="J88" s="1">
        <v>0</v>
      </c>
      <c r="K88" t="s">
        <v>385</v>
      </c>
      <c r="L88" t="s">
        <v>386</v>
      </c>
      <c r="M88" t="s">
        <v>301</v>
      </c>
      <c r="N88" t="s">
        <v>379</v>
      </c>
      <c r="O88" t="s">
        <v>388</v>
      </c>
      <c r="P88" t="s">
        <v>65</v>
      </c>
      <c r="Q88" t="s">
        <v>301</v>
      </c>
      <c r="S88" t="s">
        <v>304</v>
      </c>
      <c r="V88" t="s">
        <v>67</v>
      </c>
      <c r="Y88" t="s">
        <v>67</v>
      </c>
      <c r="AB88" t="s">
        <v>67</v>
      </c>
    </row>
    <row r="89" spans="1:28" x14ac:dyDescent="0.25">
      <c r="A89" t="s">
        <v>389</v>
      </c>
      <c r="B89" t="s">
        <v>390</v>
      </c>
      <c r="C89" t="s">
        <v>391</v>
      </c>
      <c r="E89" s="1">
        <v>0</v>
      </c>
      <c r="F89" s="1">
        <v>0</v>
      </c>
      <c r="G89" s="1">
        <v>1926.95</v>
      </c>
      <c r="H89" s="1">
        <v>0</v>
      </c>
      <c r="I89" s="1">
        <v>1926.95</v>
      </c>
      <c r="J89" s="1">
        <v>0</v>
      </c>
      <c r="K89" t="s">
        <v>389</v>
      </c>
      <c r="L89" t="s">
        <v>390</v>
      </c>
      <c r="M89" t="s">
        <v>301</v>
      </c>
      <c r="N89" t="s">
        <v>379</v>
      </c>
      <c r="O89" t="s">
        <v>392</v>
      </c>
      <c r="P89" t="s">
        <v>65</v>
      </c>
      <c r="Q89" t="s">
        <v>301</v>
      </c>
      <c r="S89" t="s">
        <v>304</v>
      </c>
      <c r="V89" t="s">
        <v>67</v>
      </c>
      <c r="Y89" t="s">
        <v>67</v>
      </c>
      <c r="AB89" t="s">
        <v>67</v>
      </c>
    </row>
    <row r="90" spans="1:28" x14ac:dyDescent="0.25">
      <c r="A90" t="s">
        <v>393</v>
      </c>
      <c r="B90" t="s">
        <v>394</v>
      </c>
      <c r="C90" t="s">
        <v>395</v>
      </c>
      <c r="E90" s="1">
        <v>0</v>
      </c>
      <c r="F90" s="1">
        <v>0</v>
      </c>
      <c r="G90" s="1">
        <v>7244.24</v>
      </c>
      <c r="H90" s="1">
        <v>0</v>
      </c>
      <c r="I90" s="1">
        <v>7244.24</v>
      </c>
      <c r="J90" s="1">
        <v>0</v>
      </c>
      <c r="K90" t="s">
        <v>393</v>
      </c>
      <c r="L90" t="s">
        <v>394</v>
      </c>
      <c r="M90" t="s">
        <v>301</v>
      </c>
      <c r="N90" t="s">
        <v>379</v>
      </c>
      <c r="O90" t="s">
        <v>392</v>
      </c>
      <c r="P90" t="s">
        <v>65</v>
      </c>
      <c r="Q90" t="s">
        <v>301</v>
      </c>
      <c r="S90" t="s">
        <v>304</v>
      </c>
      <c r="V90" t="s">
        <v>67</v>
      </c>
      <c r="Y90" t="s">
        <v>67</v>
      </c>
      <c r="AB90" t="s">
        <v>67</v>
      </c>
    </row>
    <row r="91" spans="1:28" x14ac:dyDescent="0.25">
      <c r="A91" t="s">
        <v>396</v>
      </c>
      <c r="B91" t="s">
        <v>397</v>
      </c>
      <c r="C91" t="s">
        <v>398</v>
      </c>
      <c r="E91" s="1">
        <v>0</v>
      </c>
      <c r="F91" s="1">
        <v>0</v>
      </c>
      <c r="G91" s="1">
        <v>2683.66</v>
      </c>
      <c r="H91" s="1">
        <v>0</v>
      </c>
      <c r="I91" s="1">
        <v>2683.66</v>
      </c>
      <c r="J91" s="1">
        <v>0</v>
      </c>
      <c r="K91" t="s">
        <v>396</v>
      </c>
      <c r="L91" t="s">
        <v>397</v>
      </c>
      <c r="M91" t="s">
        <v>301</v>
      </c>
      <c r="N91" t="s">
        <v>379</v>
      </c>
      <c r="O91" t="s">
        <v>392</v>
      </c>
      <c r="P91" t="s">
        <v>65</v>
      </c>
      <c r="Q91" t="s">
        <v>301</v>
      </c>
      <c r="S91" t="s">
        <v>304</v>
      </c>
      <c r="V91" t="s">
        <v>67</v>
      </c>
      <c r="Y91" t="s">
        <v>67</v>
      </c>
      <c r="AB91" t="s">
        <v>67</v>
      </c>
    </row>
    <row r="92" spans="1:28" x14ac:dyDescent="0.25">
      <c r="A92" t="s">
        <v>399</v>
      </c>
      <c r="B92" t="s">
        <v>400</v>
      </c>
      <c r="C92" t="s">
        <v>401</v>
      </c>
      <c r="E92" s="1">
        <v>0</v>
      </c>
      <c r="F92" s="1">
        <v>0</v>
      </c>
      <c r="G92" s="1">
        <v>24247.41</v>
      </c>
      <c r="H92" s="1">
        <v>0</v>
      </c>
      <c r="I92" s="1">
        <v>24247.41</v>
      </c>
      <c r="J92" s="1">
        <v>0</v>
      </c>
      <c r="K92" t="s">
        <v>399</v>
      </c>
      <c r="L92" t="s">
        <v>400</v>
      </c>
      <c r="M92" t="s">
        <v>301</v>
      </c>
      <c r="N92" t="s">
        <v>379</v>
      </c>
      <c r="O92" t="s">
        <v>402</v>
      </c>
      <c r="P92" t="s">
        <v>65</v>
      </c>
      <c r="Q92" t="s">
        <v>301</v>
      </c>
      <c r="S92" t="s">
        <v>304</v>
      </c>
      <c r="V92" t="s">
        <v>67</v>
      </c>
      <c r="Y92" t="s">
        <v>67</v>
      </c>
      <c r="AB92" t="s">
        <v>67</v>
      </c>
    </row>
    <row r="93" spans="1:28" x14ac:dyDescent="0.25">
      <c r="A93" t="s">
        <v>403</v>
      </c>
      <c r="B93" t="s">
        <v>404</v>
      </c>
      <c r="C93" t="s">
        <v>405</v>
      </c>
      <c r="E93" s="1">
        <v>0</v>
      </c>
      <c r="F93" s="1">
        <v>0</v>
      </c>
      <c r="G93" s="1">
        <v>214.8</v>
      </c>
      <c r="H93" s="1">
        <v>0</v>
      </c>
      <c r="I93" s="1">
        <v>214.8</v>
      </c>
      <c r="J93" s="1">
        <v>0</v>
      </c>
      <c r="K93" t="s">
        <v>403</v>
      </c>
      <c r="L93" t="s">
        <v>404</v>
      </c>
      <c r="M93" t="s">
        <v>301</v>
      </c>
      <c r="N93" t="s">
        <v>379</v>
      </c>
      <c r="O93" t="s">
        <v>406</v>
      </c>
      <c r="P93" t="s">
        <v>65</v>
      </c>
      <c r="Q93" t="s">
        <v>301</v>
      </c>
      <c r="S93" t="s">
        <v>304</v>
      </c>
      <c r="V93" t="s">
        <v>67</v>
      </c>
      <c r="Y93" t="s">
        <v>67</v>
      </c>
      <c r="AB93" t="s">
        <v>67</v>
      </c>
    </row>
    <row r="94" spans="1:28" x14ac:dyDescent="0.25">
      <c r="A94" t="s">
        <v>407</v>
      </c>
      <c r="B94" t="s">
        <v>408</v>
      </c>
      <c r="C94" t="s">
        <v>409</v>
      </c>
      <c r="E94" s="1">
        <v>0</v>
      </c>
      <c r="F94" s="1">
        <v>0</v>
      </c>
      <c r="G94" s="1">
        <v>1422.9</v>
      </c>
      <c r="H94" s="1">
        <v>0</v>
      </c>
      <c r="I94" s="1">
        <v>1422.9</v>
      </c>
      <c r="J94" s="1">
        <v>0</v>
      </c>
      <c r="K94" t="s">
        <v>407</v>
      </c>
      <c r="L94" t="s">
        <v>408</v>
      </c>
      <c r="M94" t="s">
        <v>301</v>
      </c>
      <c r="N94" t="s">
        <v>379</v>
      </c>
      <c r="O94" t="s">
        <v>410</v>
      </c>
      <c r="P94" t="s">
        <v>65</v>
      </c>
      <c r="Q94" t="s">
        <v>301</v>
      </c>
      <c r="S94" t="s">
        <v>304</v>
      </c>
      <c r="V94" t="s">
        <v>67</v>
      </c>
      <c r="Y94" t="s">
        <v>67</v>
      </c>
      <c r="AB94" t="s">
        <v>67</v>
      </c>
    </row>
    <row r="95" spans="1:28" x14ac:dyDescent="0.25">
      <c r="A95" t="s">
        <v>411</v>
      </c>
      <c r="B95" t="s">
        <v>412</v>
      </c>
      <c r="C95" t="s">
        <v>413</v>
      </c>
      <c r="E95" s="1">
        <v>0</v>
      </c>
      <c r="F95" s="1">
        <v>0</v>
      </c>
      <c r="G95" s="1">
        <v>744</v>
      </c>
      <c r="H95" s="1">
        <v>0</v>
      </c>
      <c r="I95" s="1">
        <v>744</v>
      </c>
      <c r="J95" s="1">
        <v>0</v>
      </c>
      <c r="K95" t="s">
        <v>411</v>
      </c>
      <c r="L95" t="s">
        <v>412</v>
      </c>
      <c r="M95" t="s">
        <v>301</v>
      </c>
      <c r="N95" t="s">
        <v>379</v>
      </c>
      <c r="O95" t="s">
        <v>410</v>
      </c>
      <c r="P95" t="s">
        <v>65</v>
      </c>
      <c r="Q95" t="s">
        <v>301</v>
      </c>
      <c r="S95" t="s">
        <v>304</v>
      </c>
      <c r="V95" t="s">
        <v>67</v>
      </c>
      <c r="Y95" t="s">
        <v>67</v>
      </c>
      <c r="AB95" t="s">
        <v>67</v>
      </c>
    </row>
    <row r="96" spans="1:28" x14ac:dyDescent="0.25">
      <c r="A96" t="s">
        <v>414</v>
      </c>
      <c r="B96" t="s">
        <v>415</v>
      </c>
      <c r="C96" t="s">
        <v>416</v>
      </c>
      <c r="E96" s="1">
        <v>0</v>
      </c>
      <c r="F96" s="1">
        <v>0</v>
      </c>
      <c r="G96" s="1">
        <v>1729.27</v>
      </c>
      <c r="H96" s="1">
        <v>0</v>
      </c>
      <c r="I96" s="1">
        <v>1729.27</v>
      </c>
      <c r="J96" s="1">
        <v>0</v>
      </c>
      <c r="K96" t="s">
        <v>414</v>
      </c>
      <c r="L96" t="s">
        <v>415</v>
      </c>
      <c r="M96" t="s">
        <v>301</v>
      </c>
      <c r="N96" t="s">
        <v>379</v>
      </c>
      <c r="O96" t="s">
        <v>410</v>
      </c>
      <c r="P96" t="s">
        <v>65</v>
      </c>
      <c r="Q96" t="s">
        <v>301</v>
      </c>
      <c r="S96" t="s">
        <v>304</v>
      </c>
      <c r="V96" t="s">
        <v>67</v>
      </c>
      <c r="Y96" t="s">
        <v>67</v>
      </c>
      <c r="AB96" t="s">
        <v>67</v>
      </c>
    </row>
    <row r="97" spans="1:28" x14ac:dyDescent="0.25">
      <c r="A97" t="s">
        <v>417</v>
      </c>
      <c r="B97" t="s">
        <v>418</v>
      </c>
      <c r="C97" t="s">
        <v>419</v>
      </c>
      <c r="E97" s="1">
        <v>0</v>
      </c>
      <c r="F97" s="1">
        <v>0</v>
      </c>
      <c r="G97" s="1">
        <v>353467.61</v>
      </c>
      <c r="H97" s="1">
        <v>0</v>
      </c>
      <c r="I97" s="1">
        <v>353467.61</v>
      </c>
      <c r="J97" s="1">
        <v>0</v>
      </c>
      <c r="K97" t="s">
        <v>417</v>
      </c>
      <c r="L97" t="s">
        <v>418</v>
      </c>
      <c r="M97" t="s">
        <v>301</v>
      </c>
      <c r="N97" t="s">
        <v>420</v>
      </c>
      <c r="O97" t="s">
        <v>421</v>
      </c>
      <c r="P97" t="s">
        <v>65</v>
      </c>
      <c r="Q97" t="s">
        <v>301</v>
      </c>
      <c r="S97" t="s">
        <v>304</v>
      </c>
      <c r="V97" t="s">
        <v>67</v>
      </c>
      <c r="Y97" t="s">
        <v>67</v>
      </c>
      <c r="AB97" t="s">
        <v>67</v>
      </c>
    </row>
    <row r="98" spans="1:28" x14ac:dyDescent="0.25">
      <c r="A98" t="s">
        <v>422</v>
      </c>
      <c r="B98" t="s">
        <v>423</v>
      </c>
      <c r="C98" t="s">
        <v>424</v>
      </c>
      <c r="E98" s="1">
        <v>0</v>
      </c>
      <c r="F98" s="1">
        <v>0</v>
      </c>
      <c r="G98" s="1">
        <v>4302.03</v>
      </c>
      <c r="H98" s="1">
        <v>0</v>
      </c>
      <c r="I98" s="1">
        <v>4302.03</v>
      </c>
      <c r="J98" s="1">
        <v>0</v>
      </c>
      <c r="K98" t="s">
        <v>422</v>
      </c>
      <c r="L98" t="s">
        <v>423</v>
      </c>
      <c r="M98" t="s">
        <v>301</v>
      </c>
      <c r="N98" t="s">
        <v>425</v>
      </c>
      <c r="O98" t="s">
        <v>426</v>
      </c>
      <c r="P98" t="s">
        <v>65</v>
      </c>
      <c r="Q98" t="s">
        <v>301</v>
      </c>
      <c r="S98" t="s">
        <v>304</v>
      </c>
      <c r="V98" t="s">
        <v>67</v>
      </c>
      <c r="Y98" t="s">
        <v>67</v>
      </c>
      <c r="AB98" t="s">
        <v>67</v>
      </c>
    </row>
    <row r="99" spans="1:28" x14ac:dyDescent="0.25">
      <c r="A99" t="s">
        <v>427</v>
      </c>
      <c r="B99" t="s">
        <v>428</v>
      </c>
      <c r="C99" t="s">
        <v>429</v>
      </c>
      <c r="E99" s="1">
        <v>0</v>
      </c>
      <c r="F99" s="1">
        <v>0</v>
      </c>
      <c r="G99" s="1">
        <v>1600.88</v>
      </c>
      <c r="H99" s="1">
        <v>0</v>
      </c>
      <c r="I99" s="1">
        <v>1600.88</v>
      </c>
      <c r="J99" s="1">
        <v>0</v>
      </c>
      <c r="K99" t="s">
        <v>427</v>
      </c>
      <c r="L99" t="s">
        <v>428</v>
      </c>
      <c r="M99" t="s">
        <v>301</v>
      </c>
      <c r="N99" t="s">
        <v>425</v>
      </c>
      <c r="O99" t="s">
        <v>426</v>
      </c>
      <c r="P99" t="s">
        <v>65</v>
      </c>
      <c r="Q99" t="s">
        <v>301</v>
      </c>
      <c r="S99" t="s">
        <v>304</v>
      </c>
      <c r="V99" t="s">
        <v>67</v>
      </c>
      <c r="Y99" t="s">
        <v>67</v>
      </c>
      <c r="AB99" t="s">
        <v>67</v>
      </c>
    </row>
    <row r="100" spans="1:28" x14ac:dyDescent="0.25">
      <c r="A100" t="s">
        <v>430</v>
      </c>
      <c r="B100" t="s">
        <v>431</v>
      </c>
      <c r="C100" t="s">
        <v>432</v>
      </c>
      <c r="E100" s="1">
        <v>0</v>
      </c>
      <c r="F100" s="1">
        <v>0</v>
      </c>
      <c r="G100" s="1">
        <v>16572.36</v>
      </c>
      <c r="H100" s="1">
        <v>0</v>
      </c>
      <c r="I100" s="1">
        <v>16572.36</v>
      </c>
      <c r="J100" s="1">
        <v>0</v>
      </c>
      <c r="K100" t="s">
        <v>430</v>
      </c>
      <c r="L100" t="s">
        <v>431</v>
      </c>
      <c r="M100" t="s">
        <v>301</v>
      </c>
      <c r="N100" t="s">
        <v>425</v>
      </c>
      <c r="O100" t="s">
        <v>433</v>
      </c>
      <c r="P100" t="s">
        <v>65</v>
      </c>
      <c r="Q100" t="s">
        <v>301</v>
      </c>
      <c r="S100" t="s">
        <v>304</v>
      </c>
      <c r="V100" t="s">
        <v>67</v>
      </c>
      <c r="Y100" t="s">
        <v>67</v>
      </c>
      <c r="AB100" t="s">
        <v>67</v>
      </c>
    </row>
    <row r="101" spans="1:28" x14ac:dyDescent="0.25">
      <c r="A101" t="s">
        <v>434</v>
      </c>
      <c r="B101" t="s">
        <v>435</v>
      </c>
      <c r="C101" t="s">
        <v>436</v>
      </c>
      <c r="E101" s="1">
        <v>0</v>
      </c>
      <c r="F101" s="1">
        <v>0</v>
      </c>
      <c r="G101" s="1">
        <v>4765.5</v>
      </c>
      <c r="H101" s="1">
        <v>0</v>
      </c>
      <c r="I101" s="1">
        <v>4765.5</v>
      </c>
      <c r="J101" s="1">
        <v>0</v>
      </c>
      <c r="K101" t="s">
        <v>434</v>
      </c>
      <c r="L101" t="s">
        <v>435</v>
      </c>
      <c r="M101" t="s">
        <v>301</v>
      </c>
      <c r="N101" t="s">
        <v>425</v>
      </c>
      <c r="O101" t="s">
        <v>437</v>
      </c>
      <c r="P101" t="s">
        <v>65</v>
      </c>
      <c r="Q101" t="s">
        <v>301</v>
      </c>
      <c r="S101" t="s">
        <v>304</v>
      </c>
      <c r="V101" t="s">
        <v>67</v>
      </c>
      <c r="Y101" t="s">
        <v>67</v>
      </c>
      <c r="AB101" t="s">
        <v>67</v>
      </c>
    </row>
    <row r="102" spans="1:28" x14ac:dyDescent="0.25">
      <c r="A102" t="s">
        <v>438</v>
      </c>
      <c r="B102" t="s">
        <v>439</v>
      </c>
      <c r="C102" t="s">
        <v>440</v>
      </c>
      <c r="E102" s="1">
        <v>0</v>
      </c>
      <c r="F102" s="1">
        <v>0</v>
      </c>
      <c r="G102" s="1">
        <v>747.11</v>
      </c>
      <c r="H102" s="1">
        <v>0</v>
      </c>
      <c r="I102" s="1">
        <v>747.11</v>
      </c>
      <c r="J102" s="1">
        <v>0</v>
      </c>
      <c r="K102" t="s">
        <v>438</v>
      </c>
      <c r="L102" t="s">
        <v>439</v>
      </c>
      <c r="M102" t="s">
        <v>301</v>
      </c>
      <c r="N102" t="s">
        <v>425</v>
      </c>
      <c r="O102" t="s">
        <v>441</v>
      </c>
      <c r="P102" t="s">
        <v>65</v>
      </c>
      <c r="Q102" t="s">
        <v>301</v>
      </c>
      <c r="S102" t="s">
        <v>304</v>
      </c>
      <c r="V102" t="s">
        <v>67</v>
      </c>
      <c r="Y102" t="s">
        <v>67</v>
      </c>
      <c r="AB102" t="s">
        <v>67</v>
      </c>
    </row>
    <row r="103" spans="1:28" x14ac:dyDescent="0.25">
      <c r="A103" t="s">
        <v>442</v>
      </c>
      <c r="B103" t="s">
        <v>443</v>
      </c>
      <c r="C103" t="s">
        <v>444</v>
      </c>
      <c r="E103" s="1">
        <v>0</v>
      </c>
      <c r="F103" s="1">
        <v>0</v>
      </c>
      <c r="G103" s="1">
        <v>7094.25</v>
      </c>
      <c r="H103" s="1">
        <v>0</v>
      </c>
      <c r="I103" s="1">
        <v>7094.25</v>
      </c>
      <c r="J103" s="1">
        <v>0</v>
      </c>
      <c r="K103" t="s">
        <v>442</v>
      </c>
      <c r="L103" t="s">
        <v>443</v>
      </c>
      <c r="M103" t="s">
        <v>301</v>
      </c>
      <c r="N103" t="s">
        <v>445</v>
      </c>
      <c r="O103" t="s">
        <v>446</v>
      </c>
      <c r="P103" t="s">
        <v>65</v>
      </c>
      <c r="Q103" t="s">
        <v>301</v>
      </c>
      <c r="S103" t="s">
        <v>304</v>
      </c>
      <c r="V103" t="s">
        <v>67</v>
      </c>
      <c r="Y103" t="s">
        <v>67</v>
      </c>
      <c r="AB103" t="s">
        <v>67</v>
      </c>
    </row>
    <row r="104" spans="1:28" x14ac:dyDescent="0.25">
      <c r="A104" t="s">
        <v>447</v>
      </c>
      <c r="B104" t="s">
        <v>448</v>
      </c>
      <c r="C104" t="s">
        <v>449</v>
      </c>
      <c r="E104" s="1">
        <v>0</v>
      </c>
      <c r="F104" s="1">
        <v>0</v>
      </c>
      <c r="G104" s="1">
        <v>0</v>
      </c>
      <c r="H104" s="1">
        <v>147309.9</v>
      </c>
      <c r="I104" s="1">
        <v>0</v>
      </c>
      <c r="J104" s="1">
        <v>147309.9</v>
      </c>
      <c r="K104" t="s">
        <v>447</v>
      </c>
      <c r="L104" t="s">
        <v>448</v>
      </c>
      <c r="M104" t="s">
        <v>450</v>
      </c>
      <c r="N104" t="s">
        <v>451</v>
      </c>
      <c r="O104" t="s">
        <v>452</v>
      </c>
      <c r="P104" t="s">
        <v>65</v>
      </c>
      <c r="Q104" t="s">
        <v>450</v>
      </c>
      <c r="S104" t="s">
        <v>453</v>
      </c>
      <c r="V104" t="s">
        <v>67</v>
      </c>
      <c r="Y104" t="s">
        <v>67</v>
      </c>
      <c r="AB104" t="s">
        <v>67</v>
      </c>
    </row>
    <row r="105" spans="1:28" x14ac:dyDescent="0.25">
      <c r="A105" t="s">
        <v>454</v>
      </c>
      <c r="B105" t="s">
        <v>455</v>
      </c>
      <c r="C105" t="s">
        <v>456</v>
      </c>
      <c r="E105" s="1">
        <v>0</v>
      </c>
      <c r="F105" s="1">
        <v>0</v>
      </c>
      <c r="G105" s="1">
        <v>0</v>
      </c>
      <c r="H105" s="1">
        <v>914.75</v>
      </c>
      <c r="I105" s="1">
        <v>0</v>
      </c>
      <c r="J105" s="1">
        <v>914.75</v>
      </c>
      <c r="K105" t="s">
        <v>454</v>
      </c>
      <c r="L105" t="s">
        <v>455</v>
      </c>
      <c r="M105" t="s">
        <v>450</v>
      </c>
      <c r="N105" t="s">
        <v>451</v>
      </c>
      <c r="O105" t="s">
        <v>452</v>
      </c>
      <c r="P105" t="s">
        <v>65</v>
      </c>
      <c r="Q105" t="s">
        <v>450</v>
      </c>
      <c r="S105" t="s">
        <v>453</v>
      </c>
      <c r="V105" t="s">
        <v>67</v>
      </c>
      <c r="Y105" t="s">
        <v>67</v>
      </c>
      <c r="AB105" t="s">
        <v>67</v>
      </c>
    </row>
    <row r="106" spans="1:28" x14ac:dyDescent="0.25">
      <c r="A106" t="s">
        <v>457</v>
      </c>
      <c r="B106" t="s">
        <v>458</v>
      </c>
      <c r="C106" t="s">
        <v>459</v>
      </c>
      <c r="E106" s="1">
        <v>0</v>
      </c>
      <c r="F106" s="1">
        <v>0</v>
      </c>
      <c r="G106" s="1">
        <v>0</v>
      </c>
      <c r="H106" s="1">
        <v>925</v>
      </c>
      <c r="I106" s="1">
        <v>0</v>
      </c>
      <c r="J106" s="1">
        <v>925</v>
      </c>
      <c r="K106" t="s">
        <v>457</v>
      </c>
      <c r="L106" t="s">
        <v>458</v>
      </c>
      <c r="M106" t="s">
        <v>450</v>
      </c>
      <c r="N106" t="s">
        <v>451</v>
      </c>
      <c r="O106" t="s">
        <v>452</v>
      </c>
      <c r="P106" t="s">
        <v>65</v>
      </c>
      <c r="Q106" t="s">
        <v>450</v>
      </c>
      <c r="S106" t="s">
        <v>453</v>
      </c>
      <c r="V106" t="s">
        <v>67</v>
      </c>
      <c r="Y106" t="s">
        <v>67</v>
      </c>
      <c r="AB106" t="s">
        <v>67</v>
      </c>
    </row>
    <row r="107" spans="1:28" x14ac:dyDescent="0.25">
      <c r="A107" t="s">
        <v>460</v>
      </c>
      <c r="B107" t="s">
        <v>461</v>
      </c>
      <c r="C107" t="s">
        <v>462</v>
      </c>
      <c r="E107" s="1">
        <v>0</v>
      </c>
      <c r="F107" s="1">
        <v>0</v>
      </c>
      <c r="G107" s="1">
        <v>0</v>
      </c>
      <c r="H107" s="1">
        <v>1286</v>
      </c>
      <c r="I107" s="1">
        <v>0</v>
      </c>
      <c r="J107" s="1">
        <v>1286</v>
      </c>
      <c r="K107" t="s">
        <v>460</v>
      </c>
      <c r="L107" t="s">
        <v>461</v>
      </c>
      <c r="M107" t="s">
        <v>450</v>
      </c>
      <c r="N107" t="s">
        <v>451</v>
      </c>
      <c r="O107" t="s">
        <v>452</v>
      </c>
      <c r="P107" t="s">
        <v>65</v>
      </c>
      <c r="Q107" t="s">
        <v>450</v>
      </c>
      <c r="S107" t="s">
        <v>453</v>
      </c>
      <c r="V107" t="s">
        <v>67</v>
      </c>
      <c r="Y107" t="s">
        <v>67</v>
      </c>
      <c r="AB107" t="s">
        <v>67</v>
      </c>
    </row>
    <row r="108" spans="1:28" x14ac:dyDescent="0.25">
      <c r="A108" t="s">
        <v>463</v>
      </c>
      <c r="B108" t="s">
        <v>464</v>
      </c>
      <c r="C108" t="s">
        <v>465</v>
      </c>
      <c r="E108" s="1">
        <v>0</v>
      </c>
      <c r="F108" s="1">
        <v>0</v>
      </c>
      <c r="G108" s="1">
        <v>0</v>
      </c>
      <c r="H108" s="1">
        <v>2114</v>
      </c>
      <c r="I108" s="1">
        <v>0</v>
      </c>
      <c r="J108" s="1">
        <v>2114</v>
      </c>
      <c r="K108" t="s">
        <v>463</v>
      </c>
      <c r="L108" t="s">
        <v>464</v>
      </c>
      <c r="M108" t="s">
        <v>450</v>
      </c>
      <c r="N108" t="s">
        <v>451</v>
      </c>
      <c r="O108" t="s">
        <v>466</v>
      </c>
      <c r="P108" t="s">
        <v>65</v>
      </c>
      <c r="Q108" t="s">
        <v>450</v>
      </c>
      <c r="S108" t="s">
        <v>453</v>
      </c>
      <c r="V108" t="s">
        <v>67</v>
      </c>
      <c r="Y108" t="s">
        <v>67</v>
      </c>
      <c r="AB108" t="s">
        <v>67</v>
      </c>
    </row>
    <row r="109" spans="1:28" x14ac:dyDescent="0.25">
      <c r="A109" t="s">
        <v>467</v>
      </c>
      <c r="B109" t="s">
        <v>468</v>
      </c>
      <c r="C109" t="s">
        <v>469</v>
      </c>
      <c r="E109" s="1">
        <v>0</v>
      </c>
      <c r="F109" s="1">
        <v>0</v>
      </c>
      <c r="G109" s="1">
        <v>0</v>
      </c>
      <c r="H109" s="1">
        <v>20088.63</v>
      </c>
      <c r="I109" s="1">
        <v>0</v>
      </c>
      <c r="J109" s="1">
        <v>20088.63</v>
      </c>
      <c r="K109" t="s">
        <v>467</v>
      </c>
      <c r="L109" t="s">
        <v>468</v>
      </c>
      <c r="M109" t="s">
        <v>450</v>
      </c>
      <c r="N109" t="s">
        <v>470</v>
      </c>
      <c r="O109" t="s">
        <v>471</v>
      </c>
      <c r="P109" t="s">
        <v>65</v>
      </c>
      <c r="Q109" t="s">
        <v>450</v>
      </c>
      <c r="S109" t="s">
        <v>453</v>
      </c>
      <c r="V109" t="s">
        <v>67</v>
      </c>
      <c r="Y109" t="s">
        <v>67</v>
      </c>
      <c r="AB109" t="s">
        <v>67</v>
      </c>
    </row>
    <row r="110" spans="1:28" x14ac:dyDescent="0.25">
      <c r="A110" t="s">
        <v>472</v>
      </c>
      <c r="B110" t="s">
        <v>473</v>
      </c>
      <c r="C110" t="s">
        <v>474</v>
      </c>
      <c r="E110" s="1">
        <v>0</v>
      </c>
      <c r="F110" s="1">
        <v>0</v>
      </c>
      <c r="G110" s="1">
        <v>0</v>
      </c>
      <c r="H110" s="1">
        <v>353467.61</v>
      </c>
      <c r="I110" s="1">
        <v>0</v>
      </c>
      <c r="J110" s="1">
        <v>353467.61</v>
      </c>
      <c r="K110" t="s">
        <v>472</v>
      </c>
      <c r="L110" t="s">
        <v>473</v>
      </c>
      <c r="M110" t="s">
        <v>450</v>
      </c>
      <c r="N110" t="s">
        <v>470</v>
      </c>
      <c r="O110" t="s">
        <v>471</v>
      </c>
      <c r="P110" t="s">
        <v>65</v>
      </c>
      <c r="Q110" t="s">
        <v>450</v>
      </c>
      <c r="S110" t="s">
        <v>453</v>
      </c>
      <c r="V110" t="s">
        <v>67</v>
      </c>
      <c r="Y110" t="s">
        <v>67</v>
      </c>
      <c r="AB110" t="s">
        <v>67</v>
      </c>
    </row>
    <row r="111" spans="1:28" x14ac:dyDescent="0.25">
      <c r="A111" t="s">
        <v>475</v>
      </c>
      <c r="B111" t="s">
        <v>476</v>
      </c>
      <c r="C111" t="s">
        <v>477</v>
      </c>
      <c r="E111" s="1">
        <v>0</v>
      </c>
      <c r="F111" s="1">
        <v>0</v>
      </c>
      <c r="G111" s="1">
        <v>10.31</v>
      </c>
      <c r="H111" s="1">
        <v>17774.78</v>
      </c>
      <c r="I111" s="1">
        <v>0</v>
      </c>
      <c r="J111" s="1">
        <v>17764.47</v>
      </c>
      <c r="K111" t="s">
        <v>475</v>
      </c>
      <c r="L111" t="s">
        <v>476</v>
      </c>
      <c r="M111" t="s">
        <v>450</v>
      </c>
      <c r="N111" t="s">
        <v>470</v>
      </c>
      <c r="O111" t="s">
        <v>471</v>
      </c>
      <c r="P111" t="s">
        <v>65</v>
      </c>
      <c r="Q111" t="s">
        <v>450</v>
      </c>
      <c r="S111" t="s">
        <v>453</v>
      </c>
      <c r="V111" t="s">
        <v>67</v>
      </c>
      <c r="Y111" t="s">
        <v>67</v>
      </c>
      <c r="AB111" t="s">
        <v>67</v>
      </c>
    </row>
    <row r="112" spans="1:28" x14ac:dyDescent="0.25">
      <c r="A112" t="s">
        <v>478</v>
      </c>
      <c r="B112" t="s">
        <v>479</v>
      </c>
      <c r="C112" t="s">
        <v>480</v>
      </c>
      <c r="E112" s="1">
        <v>0</v>
      </c>
      <c r="F112" s="1">
        <v>0</v>
      </c>
      <c r="G112" s="1">
        <v>0</v>
      </c>
      <c r="H112" s="1">
        <v>3590.7</v>
      </c>
      <c r="I112" s="1">
        <v>0</v>
      </c>
      <c r="J112" s="1">
        <v>3590.7</v>
      </c>
      <c r="K112" t="s">
        <v>478</v>
      </c>
      <c r="L112" t="s">
        <v>479</v>
      </c>
      <c r="M112" t="s">
        <v>450</v>
      </c>
      <c r="N112" t="s">
        <v>470</v>
      </c>
      <c r="O112" t="s">
        <v>471</v>
      </c>
      <c r="P112" t="s">
        <v>65</v>
      </c>
      <c r="Q112" t="s">
        <v>450</v>
      </c>
      <c r="S112" t="s">
        <v>453</v>
      </c>
      <c r="V112" t="s">
        <v>67</v>
      </c>
      <c r="Y112" t="s">
        <v>67</v>
      </c>
      <c r="AB112" t="s">
        <v>67</v>
      </c>
    </row>
    <row r="113" spans="1:28" x14ac:dyDescent="0.25">
      <c r="A113" t="s">
        <v>481</v>
      </c>
      <c r="B113" t="s">
        <v>482</v>
      </c>
      <c r="C113" t="s">
        <v>483</v>
      </c>
      <c r="E113" s="1">
        <v>0</v>
      </c>
      <c r="F113" s="1">
        <v>0</v>
      </c>
      <c r="G113" s="1">
        <v>0</v>
      </c>
      <c r="H113" s="1">
        <v>130299.5</v>
      </c>
      <c r="I113" s="1">
        <v>0</v>
      </c>
      <c r="J113" s="1">
        <v>130299.5</v>
      </c>
      <c r="K113" t="s">
        <v>481</v>
      </c>
      <c r="L113" t="s">
        <v>482</v>
      </c>
      <c r="M113" t="s">
        <v>450</v>
      </c>
      <c r="N113" t="s">
        <v>470</v>
      </c>
      <c r="O113" t="s">
        <v>484</v>
      </c>
      <c r="P113" t="s">
        <v>65</v>
      </c>
      <c r="Q113" t="s">
        <v>450</v>
      </c>
      <c r="S113" t="s">
        <v>453</v>
      </c>
      <c r="V113" t="s">
        <v>67</v>
      </c>
      <c r="Y113" t="s">
        <v>67</v>
      </c>
      <c r="AB113" t="s">
        <v>67</v>
      </c>
    </row>
    <row r="114" spans="1:28" x14ac:dyDescent="0.25">
      <c r="A114" t="s">
        <v>485</v>
      </c>
      <c r="B114" t="s">
        <v>486</v>
      </c>
      <c r="C114" t="s">
        <v>487</v>
      </c>
      <c r="E114" s="1">
        <v>0</v>
      </c>
      <c r="F114" s="1">
        <v>0</v>
      </c>
      <c r="G114" s="1">
        <v>0</v>
      </c>
      <c r="H114" s="1">
        <v>47710.23</v>
      </c>
      <c r="I114" s="1">
        <v>0</v>
      </c>
      <c r="J114" s="1">
        <v>47710.23</v>
      </c>
      <c r="K114" t="s">
        <v>485</v>
      </c>
      <c r="L114" t="s">
        <v>486</v>
      </c>
      <c r="M114" t="s">
        <v>450</v>
      </c>
      <c r="N114" t="s">
        <v>470</v>
      </c>
      <c r="O114" t="s">
        <v>484</v>
      </c>
      <c r="P114" t="s">
        <v>65</v>
      </c>
      <c r="Q114" t="s">
        <v>450</v>
      </c>
      <c r="S114" t="s">
        <v>453</v>
      </c>
      <c r="V114" t="s">
        <v>67</v>
      </c>
      <c r="Y114" t="s">
        <v>67</v>
      </c>
      <c r="AB114" t="s">
        <v>67</v>
      </c>
    </row>
    <row r="115" spans="1:28" x14ac:dyDescent="0.25">
      <c r="A115" t="s">
        <v>488</v>
      </c>
      <c r="B115" t="s">
        <v>207</v>
      </c>
      <c r="C115" t="s">
        <v>489</v>
      </c>
      <c r="E115" s="1">
        <v>0</v>
      </c>
      <c r="F115" s="1">
        <v>0</v>
      </c>
      <c r="G115" s="1">
        <v>0</v>
      </c>
      <c r="H115" s="1">
        <v>46776.4</v>
      </c>
      <c r="I115" s="1">
        <v>0</v>
      </c>
      <c r="J115" s="1">
        <v>46776.4</v>
      </c>
      <c r="K115" t="s">
        <v>488</v>
      </c>
      <c r="L115" t="s">
        <v>207</v>
      </c>
      <c r="M115" t="s">
        <v>450</v>
      </c>
      <c r="N115" t="s">
        <v>470</v>
      </c>
      <c r="O115" t="s">
        <v>484</v>
      </c>
      <c r="P115" t="s">
        <v>65</v>
      </c>
      <c r="Q115" t="s">
        <v>450</v>
      </c>
      <c r="S115" t="s">
        <v>453</v>
      </c>
      <c r="V115" t="s">
        <v>67</v>
      </c>
      <c r="Y115" t="s">
        <v>67</v>
      </c>
      <c r="AB115" t="s">
        <v>67</v>
      </c>
    </row>
    <row r="116" spans="1:28" x14ac:dyDescent="0.25">
      <c r="A116" t="s">
        <v>490</v>
      </c>
      <c r="B116" t="s">
        <v>491</v>
      </c>
      <c r="C116" t="s">
        <v>492</v>
      </c>
      <c r="E116" s="1">
        <v>0</v>
      </c>
      <c r="F116" s="1">
        <v>0</v>
      </c>
      <c r="G116" s="1">
        <v>0</v>
      </c>
      <c r="H116" s="1">
        <v>15660.66</v>
      </c>
      <c r="I116" s="1">
        <v>0</v>
      </c>
      <c r="J116" s="1">
        <v>15660.66</v>
      </c>
      <c r="K116" t="s">
        <v>490</v>
      </c>
      <c r="L116" t="s">
        <v>491</v>
      </c>
      <c r="M116" t="s">
        <v>450</v>
      </c>
      <c r="N116" t="s">
        <v>470</v>
      </c>
      <c r="O116" t="s">
        <v>493</v>
      </c>
      <c r="P116" t="s">
        <v>65</v>
      </c>
      <c r="Q116" t="s">
        <v>450</v>
      </c>
      <c r="S116" t="s">
        <v>453</v>
      </c>
      <c r="V116" t="s">
        <v>67</v>
      </c>
      <c r="Y116" t="s">
        <v>67</v>
      </c>
      <c r="AB116" t="s">
        <v>67</v>
      </c>
    </row>
    <row r="117" spans="1:28" x14ac:dyDescent="0.25">
      <c r="A117" t="s">
        <v>494</v>
      </c>
      <c r="B117" t="s">
        <v>495</v>
      </c>
      <c r="C117" t="s">
        <v>496</v>
      </c>
      <c r="E117" s="1">
        <v>0</v>
      </c>
      <c r="F117" s="1">
        <v>0</v>
      </c>
      <c r="G117" s="1">
        <v>0</v>
      </c>
      <c r="H117" s="1">
        <v>5358.83</v>
      </c>
      <c r="I117" s="1">
        <v>0</v>
      </c>
      <c r="J117" s="1">
        <v>5358.83</v>
      </c>
      <c r="K117" t="s">
        <v>494</v>
      </c>
      <c r="L117" t="s">
        <v>495</v>
      </c>
      <c r="M117" t="s">
        <v>450</v>
      </c>
      <c r="N117" t="s">
        <v>497</v>
      </c>
      <c r="O117" t="s">
        <v>498</v>
      </c>
      <c r="P117" t="s">
        <v>65</v>
      </c>
      <c r="Q117" t="s">
        <v>450</v>
      </c>
      <c r="S117" t="s">
        <v>453</v>
      </c>
      <c r="V117" t="s">
        <v>67</v>
      </c>
      <c r="Y117" t="s">
        <v>67</v>
      </c>
      <c r="AB117" t="s">
        <v>67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Balance</vt:lpstr>
      <vt:lpstr>Donnees</vt:lpstr>
    </vt:vector>
  </TitlesOfParts>
  <Company>Qualiac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delort</dc:creator>
  <cp:keywords>SXSSF</cp:keywords>
  <cp:lastModifiedBy>AgentComptable</cp:lastModifiedBy>
  <cp:lastPrinted>2016-03-01T07:45:34Z</cp:lastPrinted>
  <dcterms:created xsi:type="dcterms:W3CDTF">2014-09-18T09:55:55Z</dcterms:created>
  <dcterms:modified xsi:type="dcterms:W3CDTF">2026-03-30T16:02:03Z</dcterms:modified>
</cp:coreProperties>
</file>
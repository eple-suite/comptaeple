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Y:\Agence comptable\01_collège Maurice SATINEAU\05_op@le\2025\04_comptabilité\04_travaux périodiques\REPROFI4.6_clg_satineau\EXTRACTIONS\"/>
    </mc:Choice>
  </mc:AlternateContent>
  <xr:revisionPtr revIDLastSave="0" documentId="8_{DECF2A4D-D2C2-4C28-B6A8-B0DCD959524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CBU" sheetId="3" r:id="rId1"/>
    <sheet name="Donnees" sheetId="2" r:id="rId2"/>
  </sheets>
  <calcPr calcId="191029"/>
  <pivotCaches>
    <pivotCache cacheId="11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2" l="1"/>
  <c r="H1" i="2"/>
  <c r="F1" i="2"/>
  <c r="D1" i="2"/>
  <c r="B1" i="2"/>
  <c r="H4" i="3" l="1"/>
  <c r="G4" i="3"/>
  <c r="F4" i="3"/>
  <c r="E4" i="3"/>
  <c r="D4" i="3"/>
  <c r="G2" i="3" l="1"/>
  <c r="C2" i="3" l="1"/>
  <c r="B2" i="3" l="1"/>
</calcChain>
</file>

<file path=xl/sharedStrings.xml><?xml version="1.0" encoding="utf-8"?>
<sst xmlns="http://schemas.openxmlformats.org/spreadsheetml/2006/main" count="1575" uniqueCount="308">
  <si>
    <t>Job :</t>
  </si>
  <si>
    <t>Utilisateur :</t>
  </si>
  <si>
    <t>Date :</t>
  </si>
  <si>
    <t>Compte</t>
  </si>
  <si>
    <t>CGR</t>
  </si>
  <si>
    <t>Etablissement</t>
  </si>
  <si>
    <t>Job</t>
  </si>
  <si>
    <t>Date</t>
  </si>
  <si>
    <t>Total général</t>
  </si>
  <si>
    <t>Intutilé réduit</t>
  </si>
  <si>
    <t>CGR de niveau 1</t>
  </si>
  <si>
    <t>CGR de niveau 2</t>
  </si>
  <si>
    <t>CGR de niveau 3</t>
  </si>
  <si>
    <t>CGR de niveau 4</t>
  </si>
  <si>
    <t>CGR de niveau 5</t>
  </si>
  <si>
    <t>CGR de niveau 6</t>
  </si>
  <si>
    <t>CGR de niveau 7</t>
  </si>
  <si>
    <t>CGR de niveau 8</t>
  </si>
  <si>
    <t>CGR de niveau 9</t>
  </si>
  <si>
    <t>Poste de niveau 1</t>
  </si>
  <si>
    <t>Poste de niveau 2</t>
  </si>
  <si>
    <t>Poste de niveau 3</t>
  </si>
  <si>
    <t>Poste de niveau 4</t>
  </si>
  <si>
    <t>Poste de niveau 5</t>
  </si>
  <si>
    <t>Poste de niveau 6</t>
  </si>
  <si>
    <t>Poste de niveau 7</t>
  </si>
  <si>
    <t>Poste de niveau 8</t>
  </si>
  <si>
    <t>Poste de niveau 9</t>
  </si>
  <si>
    <t>Montant colonne 1</t>
  </si>
  <si>
    <t>Montant colonne 2</t>
  </si>
  <si>
    <t>Montant colonne 3</t>
  </si>
  <si>
    <t>Montant colonne 4</t>
  </si>
  <si>
    <t>Montant colonne 5</t>
  </si>
  <si>
    <t>Montant colonne 6</t>
  </si>
  <si>
    <t>Montant colonne 7</t>
  </si>
  <si>
    <t>Montant colonne 8</t>
  </si>
  <si>
    <t>Montant colonne 9</t>
  </si>
  <si>
    <t>Montant colonne 10</t>
  </si>
  <si>
    <t>Montant colonne 11</t>
  </si>
  <si>
    <t>Montant colonne 12</t>
  </si>
  <si>
    <t>Montant colonne 13</t>
  </si>
  <si>
    <t>Etablissement si un seul sélectionné</t>
  </si>
  <si>
    <t xml:space="preserve">Utilisateur 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</si>
  <si>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</si>
  <si>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</si>
  <si>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</si>
  <si>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</si>
  <si>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</si>
  <si>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</si>
  <si>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</si>
  <si>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</si>
  <si>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</si>
  <si>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</si>
  <si>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Colonne 11</t>
  </si>
  <si>
    <t>Colonne 12</t>
  </si>
  <si>
    <t>Colonne 13</t>
  </si>
  <si>
    <t>Somme de Montant colonne 1</t>
  </si>
  <si>
    <t>Somme de Montant colonne 2</t>
  </si>
  <si>
    <t>Somme de Montant colonne 3</t>
  </si>
  <si>
    <t>Somme de Montant colonne 4</t>
  </si>
  <si>
    <t>Somme de Montant colonne 5</t>
  </si>
  <si>
    <t>CGR et intitulé réduit 1</t>
  </si>
  <si>
    <t>CGR et intitulé réduit 2</t>
  </si>
  <si>
    <t>CGR et intitulé réduit 3</t>
  </si>
  <si>
    <t>CGR et intitulé réduit 4</t>
  </si>
  <si>
    <t>CGR et intitulé réduit 5</t>
  </si>
  <si>
    <t>CGR et intitulé réduit 6</t>
  </si>
  <si>
    <t>CGR et intitulé réduit 7</t>
  </si>
  <si>
    <t>CGR et intitulé réduit 8</t>
  </si>
  <si>
    <t>CGR et intitulé réduit 9</t>
  </si>
  <si>
    <t>CGR de niveau 10</t>
  </si>
  <si>
    <t>CGR et intitulé réduit 10</t>
  </si>
  <si>
    <t>Poste et intitulé réduit 1</t>
  </si>
  <si>
    <t>Poste et intitulé réduit 2</t>
  </si>
  <si>
    <t>Poste et intitulé réduit 3</t>
  </si>
  <si>
    <t>Poste et intitulé réduit 4</t>
  </si>
  <si>
    <t>Poste et intitulé réduit 5</t>
  </si>
  <si>
    <t>Poste et intitulé réduit 6</t>
  </si>
  <si>
    <t>Poste et intitulé réduit 7</t>
  </si>
  <si>
    <t>Poste et intitulé réduit 8</t>
  </si>
  <si>
    <t>Poste et intitulé réduit 9</t>
  </si>
  <si>
    <t>Poste de niveau 10</t>
  </si>
  <si>
    <t>Poste et intitulé réduit 10</t>
  </si>
  <si>
    <t>Etablissement :</t>
  </si>
  <si>
    <t>Intitulé réduit</t>
  </si>
  <si>
    <t>Colonne 1 ligne 2</t>
  </si>
  <si>
    <t>Colonne 2 ligne 2</t>
  </si>
  <si>
    <t>Colonne 3 ligne 2</t>
  </si>
  <si>
    <t>Colonne 4 ligne 2</t>
  </si>
  <si>
    <t>Colonne 5 ligne 2</t>
  </si>
  <si>
    <t>Colonne 6 ligne 2</t>
  </si>
  <si>
    <t>Colonne 7 ligne 2</t>
  </si>
  <si>
    <t>Colonne 8 ligne 2</t>
  </si>
  <si>
    <t>Colonne 9 ligne 2</t>
  </si>
  <si>
    <t>Colonne 10 ligne 2</t>
  </si>
  <si>
    <t>Colonne 11 ligne 2</t>
  </si>
  <si>
    <t>Colonne 12 ligne 2</t>
  </si>
  <si>
    <t>Colonne 13 ligne 2</t>
  </si>
  <si>
    <t>SITUATION DES RECETTES</t>
  </si>
  <si>
    <t>P03427</t>
  </si>
  <si>
    <t>ETS</t>
  </si>
  <si>
    <t>ETS - Etablissement</t>
  </si>
  <si>
    <t>FONC</t>
  </si>
  <si>
    <t>FONCTIONNEMENT</t>
  </si>
  <si>
    <t>FONC - FONCTIONNEMENT</t>
  </si>
  <si>
    <t>SG</t>
  </si>
  <si>
    <t>SERVICES GENERAUX </t>
  </si>
  <si>
    <t>SG - SERVICES GENERAUX </t>
  </si>
  <si>
    <t>AP</t>
  </si>
  <si>
    <t>ACTIVITES PEDAGO. </t>
  </si>
  <si>
    <t>AP - ACTIVITES PEDAGO. </t>
  </si>
  <si>
    <t>AP        BOP141</t>
  </si>
  <si>
    <t>_</t>
  </si>
  <si>
    <t>AP        BOP141 - _</t>
  </si>
  <si>
    <t>AP        BOP141    ..</t>
  </si>
  <si>
    <t>AP        BOP141    .. - _</t>
  </si>
  <si>
    <t>-</t>
  </si>
  <si>
    <t>REC</t>
  </si>
  <si>
    <t>Total Recettes</t>
  </si>
  <si>
    <t>REC - Total Recettes</t>
  </si>
  <si>
    <t>RECETTES</t>
  </si>
  <si>
    <t>Recettes</t>
  </si>
  <si>
    <t>RECETTES - Recettes</t>
  </si>
  <si>
    <t>741130</t>
  </si>
  <si>
    <t>SUBV MEN- P141</t>
  </si>
  <si>
    <t>741130 - SUBV MEN- P141</t>
  </si>
  <si>
    <t>9710040S</t>
  </si>
  <si>
    <t>102045572</t>
  </si>
  <si>
    <t>032FRANTZFRANCOISC01</t>
  </si>
  <si>
    <t>30/03/2026</t>
  </si>
  <si>
    <t>Budget</t>
  </si>
  <si>
    <t>Engagé</t>
  </si>
  <si>
    <t>Réalisé comptable</t>
  </si>
  <si>
    <t>En cours</t>
  </si>
  <si>
    <t>+/- value</t>
  </si>
  <si>
    <t>AP        DEPART</t>
  </si>
  <si>
    <t>AP        DEPART - _</t>
  </si>
  <si>
    <t>AP        DEPART    2DPRI</t>
  </si>
  <si>
    <t>AP        DEPART    2DPRI - _</t>
  </si>
  <si>
    <t>744310</t>
  </si>
  <si>
    <t>SUBV FCT-DEPT</t>
  </si>
  <si>
    <t>744310 - SUBV FCT-DEPT</t>
  </si>
  <si>
    <t>AP        ENSGEN</t>
  </si>
  <si>
    <t>AP        ENSGEN - _</t>
  </si>
  <si>
    <t>AP        ENSGEN    2SPEE</t>
  </si>
  <si>
    <t>AP        ENSGEN    2SPEE - _</t>
  </si>
  <si>
    <t>744380</t>
  </si>
  <si>
    <t>AUTRE SUBV.DEPARTEME</t>
  </si>
  <si>
    <t>744380 - AUTRE SUBV.DEPARTEME</t>
  </si>
  <si>
    <t>AP        EPS</t>
  </si>
  <si>
    <t>AP        EPS - _</t>
  </si>
  <si>
    <t>AP        EPS       2DEPSLOC</t>
  </si>
  <si>
    <t>AP        EPS       2DEPSLOC - _</t>
  </si>
  <si>
    <t>AP        ETABLI</t>
  </si>
  <si>
    <t>AP        ETABLI - _</t>
  </si>
  <si>
    <t>AP        ETABLI    0DEGRA</t>
  </si>
  <si>
    <t>AP        ETABLI    0DEGRA - _</t>
  </si>
  <si>
    <t>708800</t>
  </si>
  <si>
    <t>AUT. PROD. ACT. ANN.</t>
  </si>
  <si>
    <t>708800 - AUT. PROD. ACT. ANN.</t>
  </si>
  <si>
    <t>AP        ETABLI    0FAMILLE</t>
  </si>
  <si>
    <t>AP        ETABLI    0FAMILLE - _</t>
  </si>
  <si>
    <t>706700</t>
  </si>
  <si>
    <t>ELEVES VOYAGE-SORTIE</t>
  </si>
  <si>
    <t>706700 - ELEVES VOYAGE-SORTIE</t>
  </si>
  <si>
    <t>706800</t>
  </si>
  <si>
    <t>AUT. PRESTATIONS</t>
  </si>
  <si>
    <t>706800 - AUT. PRESTATIONS</t>
  </si>
  <si>
    <t>AP        PROJET</t>
  </si>
  <si>
    <t>AP        PROJET - _</t>
  </si>
  <si>
    <t>AP        PROJET    0DAC</t>
  </si>
  <si>
    <t>AP        PROJET    0DAC - _</t>
  </si>
  <si>
    <t>741800</t>
  </si>
  <si>
    <t>SUBV AUT. MINISTERES</t>
  </si>
  <si>
    <t>741800 - SUBV AUT. MINISTERES</t>
  </si>
  <si>
    <t>AP        PROJET    13ADPTHEA</t>
  </si>
  <si>
    <t>AP        PROJET    13ADPTHEA - _</t>
  </si>
  <si>
    <t>AP        PROJET    2AUDIOVIS</t>
  </si>
  <si>
    <t>AP        PROJET    2AUDIOVIS - _</t>
  </si>
  <si>
    <t>AP        PROJET    2JADEN</t>
  </si>
  <si>
    <t>AP        PROJET    2JADEN - _</t>
  </si>
  <si>
    <t>AP        PROJET    2THEATRE</t>
  </si>
  <si>
    <t>AP        PROJET    2THEATRE - _</t>
  </si>
  <si>
    <t>AP        SEJOURSA</t>
  </si>
  <si>
    <t>AP        SEJOURSA - _</t>
  </si>
  <si>
    <t>AP        SEJOURSA  0SEJOURSA</t>
  </si>
  <si>
    <t>AP        SEJOURSA  0SEJOURSA - _</t>
  </si>
  <si>
    <t>746800</t>
  </si>
  <si>
    <t>AUTRES DONS ET LEGS</t>
  </si>
  <si>
    <t>746800 - AUTRES DONS ET LEGS</t>
  </si>
  <si>
    <t>AP        VOYMER</t>
  </si>
  <si>
    <t>AP        VOYMER - _</t>
  </si>
  <si>
    <t>AP        VOYMER    2SPEM</t>
  </si>
  <si>
    <t>AP        VOYMER    2SPEM - _</t>
  </si>
  <si>
    <t>AP        VOYSUISSE</t>
  </si>
  <si>
    <t>AP        VOYSUISSE - _</t>
  </si>
  <si>
    <t>AP        VOYSUISSE 0ATAUDIOV</t>
  </si>
  <si>
    <t>AP        VOYSUISSE 0ATAUDIOV - _</t>
  </si>
  <si>
    <t>744480</t>
  </si>
  <si>
    <t>AUTRE SUBV.COMM</t>
  </si>
  <si>
    <t>744480 - AUTRE SUBV.COMM</t>
  </si>
  <si>
    <t>AP        VOYSUISSE 0VOYSUI</t>
  </si>
  <si>
    <t>AP        VOYSUISSE 0VOYSUI - _</t>
  </si>
  <si>
    <t>VE</t>
  </si>
  <si>
    <t>VIE DE L'ELEVE</t>
  </si>
  <si>
    <t>VE - VIE DE L'ELEVE</t>
  </si>
  <si>
    <t>VE        AEDREM</t>
  </si>
  <si>
    <t>VE        AEDREM - _</t>
  </si>
  <si>
    <t>VE        AEDREM    16AED</t>
  </si>
  <si>
    <t>VE        AEDREM    16AED - _</t>
  </si>
  <si>
    <t>741150</t>
  </si>
  <si>
    <t>SUBV MEN - P230-AED</t>
  </si>
  <si>
    <t>741150 - SUBV MEN - P230-AED</t>
  </si>
  <si>
    <t>VE        BOP230</t>
  </si>
  <si>
    <t>VE        BOP230 - _</t>
  </si>
  <si>
    <t>VE        BOP230    16EO-</t>
  </si>
  <si>
    <t>VE        BOP230    16EO- - _</t>
  </si>
  <si>
    <t>741160</t>
  </si>
  <si>
    <t>SUBV MEN-P230-AUTRE</t>
  </si>
  <si>
    <t>741160 - SUBV MEN-P230-AUTRE</t>
  </si>
  <si>
    <t>VE        BOP230    16ESC</t>
  </si>
  <si>
    <t>VE        BOP230    16ESC - _</t>
  </si>
  <si>
    <t>VE        BOP230    16FS-</t>
  </si>
  <si>
    <t>VE        BOP230    16FS- - _</t>
  </si>
  <si>
    <t>VE        BOP230    16FSC</t>
  </si>
  <si>
    <t>VE        BOP230    16FSC - _</t>
  </si>
  <si>
    <t>ALO</t>
  </si>
  <si>
    <t>ADMIN ET LOGISTIQUE</t>
  </si>
  <si>
    <t>ALO - ADMIN ET LOGISTIQUE</t>
  </si>
  <si>
    <t>ALO       ADMIN</t>
  </si>
  <si>
    <t>ALO       ADMIN - _</t>
  </si>
  <si>
    <t>ALO       ADMIN     2FIBREOPT</t>
  </si>
  <si>
    <t>ALO       ADMIN     2FIBREOPT - _</t>
  </si>
  <si>
    <t>ALO       ADMIN     2SPEE</t>
  </si>
  <si>
    <t>ALO       ADMIN     2SPEE - _</t>
  </si>
  <si>
    <t>ALO       DEPART</t>
  </si>
  <si>
    <t>ALO       DEPART - _</t>
  </si>
  <si>
    <t>ALO       DEPART    2DPRI</t>
  </si>
  <si>
    <t>ALO       DEPART    2DPRI - _</t>
  </si>
  <si>
    <t>ALO       ETABLI</t>
  </si>
  <si>
    <t>ALO       ETABLI - _</t>
  </si>
  <si>
    <t>ALO       ETABLI    0DIVERS</t>
  </si>
  <si>
    <t>ALO       ETABLI    0DIVERS - _</t>
  </si>
  <si>
    <t>ALO       ETABLI    0LOCATION</t>
  </si>
  <si>
    <t>ALO       ETABLI    0LOCATION - _</t>
  </si>
  <si>
    <t>ALO       ETABLI    0LOGEMENT</t>
  </si>
  <si>
    <t>ALO       ETABLI    0LOGEMENT - _</t>
  </si>
  <si>
    <t>708300</t>
  </si>
  <si>
    <t>LOCATIONS DIVERSES</t>
  </si>
  <si>
    <t>708300 - LOCATIONS DIVERSES</t>
  </si>
  <si>
    <t>ALO       OP-SPE</t>
  </si>
  <si>
    <t>ALO       OP-SPE - _</t>
  </si>
  <si>
    <t>ALO       OP-SPE    0AMORSINV</t>
  </si>
  <si>
    <t>ALO       OP-SPE    0AMORSINV - _</t>
  </si>
  <si>
    <t>OS/REC</t>
  </si>
  <si>
    <t>RECETTES OPE SPE</t>
  </si>
  <si>
    <t>OS/REC - RECETTES OPE SPE</t>
  </si>
  <si>
    <t>781320</t>
  </si>
  <si>
    <t>Q.P.RES.F.ACT.AUT.ET</t>
  </si>
  <si>
    <t>781320 - Q.P.RES.F.ACT.AUT.ET</t>
  </si>
  <si>
    <t>SS</t>
  </si>
  <si>
    <t>SERVICES SPECIAUX</t>
  </si>
  <si>
    <t>SS - SERVICES SPECIAUX</t>
  </si>
  <si>
    <t>SRH</t>
  </si>
  <si>
    <t>RESTAU ET HEBERG</t>
  </si>
  <si>
    <t>SRH - RESTAU ET HEBERG</t>
  </si>
  <si>
    <t>SRH       CAF</t>
  </si>
  <si>
    <t>SRH       CAF - _</t>
  </si>
  <si>
    <t>SRH       CAF       0PARS</t>
  </si>
  <si>
    <t>SRH       CAF       0PARS - _</t>
  </si>
  <si>
    <t>744800</t>
  </si>
  <si>
    <t>AUTRES SUBVENTIONS</t>
  </si>
  <si>
    <t>744800 - AUTRES SUBVENTIONS</t>
  </si>
  <si>
    <t>SRH       COMMEN</t>
  </si>
  <si>
    <t>SRH       COMMEN - _</t>
  </si>
  <si>
    <t>SRH       COMMEN    0COMMEN</t>
  </si>
  <si>
    <t>SRH       COMMEN    0COMMEN - _</t>
  </si>
  <si>
    <t>706230</t>
  </si>
  <si>
    <t>REST.AUTRES TIERS</t>
  </si>
  <si>
    <t>706230 - REST.AUTRES TIERS</t>
  </si>
  <si>
    <t>SRH       ELEVES</t>
  </si>
  <si>
    <t>SRH       ELEVES - _</t>
  </si>
  <si>
    <t>SRH       ELEVES    0FORFAIT</t>
  </si>
  <si>
    <t>SRH       ELEVES    0FORFAIT - _</t>
  </si>
  <si>
    <t>706210</t>
  </si>
  <si>
    <t>REST.ELEVES FORFAIT</t>
  </si>
  <si>
    <t>706210 - REST.ELEVES FORFAIT</t>
  </si>
  <si>
    <t>SRH       ELEVES    0TICKET</t>
  </si>
  <si>
    <t>SRH       ELEVES    0TICKET - _</t>
  </si>
  <si>
    <t>706220</t>
  </si>
  <si>
    <t>REST.ELEVES H.FORF</t>
  </si>
  <si>
    <t>706220 - REST.ELEVES H.FORF</t>
  </si>
  <si>
    <t>INVEST</t>
  </si>
  <si>
    <t>INVESTISSEMENT</t>
  </si>
  <si>
    <t>INVEST - INVESTISSEMENT</t>
  </si>
  <si>
    <t>OPECAP</t>
  </si>
  <si>
    <t>OPE-CAP</t>
  </si>
  <si>
    <t>OPECAP - OPE-CAP</t>
  </si>
  <si>
    <t>OPC</t>
  </si>
  <si>
    <t>OPERATIONS EN CAP</t>
  </si>
  <si>
    <t>OPC - OPERATIONS EN CAP</t>
  </si>
  <si>
    <t>OPC       EQUIPEM</t>
  </si>
  <si>
    <t>OPC       EQUIPEM - _</t>
  </si>
  <si>
    <t>OPC       EQUIPEM   2SPEE</t>
  </si>
  <si>
    <t>OPC       EQUIPEM   2SPEE - _</t>
  </si>
  <si>
    <t>131300</t>
  </si>
  <si>
    <t>FIN.NON.ACTIF.DEP</t>
  </si>
  <si>
    <t>131300 - FIN.NON.ACTIF.DEP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</si>
</sst>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-#,##0.00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6">
    <dxf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vertical style="thin">
          <color auto="1"/>
        </vertical>
      </border>
    </dxf>
    <dxf>
      <font>
        <b val="0"/>
        <i val="0"/>
        <color theme="1"/>
      </font>
      <fill>
        <patternFill>
          <bgColor theme="4" tint="0.59996337778862885"/>
        </patternFill>
      </fill>
      <border>
        <left style="medium">
          <color auto="1"/>
        </left>
        <right style="medium">
          <color auto="1"/>
        </right>
        <bottom style="thin">
          <color theme="4" tint="0.39994506668294322"/>
        </bottom>
        <vertical style="thin">
          <color auto="1"/>
        </vertical>
      </border>
    </dxf>
    <dxf>
      <font>
        <color theme="0"/>
      </font>
      <fill>
        <patternFill>
          <bgColor theme="4" tint="0.39994506668294322"/>
        </patternFill>
      </fill>
      <border>
        <left style="medium">
          <color auto="1"/>
        </left>
        <right style="medium">
          <color auto="1"/>
        </right>
        <bottom/>
        <vertical style="thin">
          <color auto="1"/>
        </vertical>
      </border>
    </dxf>
    <dxf>
      <border>
        <left style="medium">
          <color auto="1"/>
        </left>
        <right style="thin">
          <color auto="1"/>
        </right>
        <vertical style="thin">
          <color auto="1"/>
        </vertical>
      </border>
    </dxf>
    <dxf>
      <font>
        <b/>
        <color theme="1"/>
      </font>
      <fill>
        <patternFill patternType="solid">
          <fgColor theme="4" tint="0.79989013336588644"/>
          <bgColor theme="0" tint="-0.14996795556505021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BLA" table="0" count="6" xr9:uid="{00000000-0011-0000-FFFF-FFFF00000000}">
      <tableStyleElement type="wholeTable" dxfId="5"/>
      <tableStyleElement type="totalRow" dxfId="4"/>
      <tableStyleElement type="firstColumn" dxfId="3"/>
      <tableStyleElement type="firstRowSubheading" dxfId="2"/>
      <tableStyleElement type="secondRowSubheading" dxfId="1"/>
      <tableStyleElement type="thirdRowSubheading" dxfId="0"/>
    </tableStyle>
    <tableStyle name="Invisible" pivot="0" table="0" count="0" xr9:uid="{6569C71F-E138-4680-A69A-229A8CCE8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11.496659490738" createdVersion="5" refreshedVersion="6" minRefreshableVersion="3" recordCount="34" xr:uid="{00000000-000A-0000-FFFF-FFFF8E000000}">
  <cacheSource type="worksheet">
    <worksheetSource ref="A2:BX999815" sheet="Donnees"/>
  </cacheSource>
  <cacheFields count="76">
    <cacheField name="Etablissement" numFmtId="0">
      <sharedItems containsBlank="1"/>
    </cacheField>
    <cacheField name="CGR de niveau 1" numFmtId="0">
      <sharedItems containsBlank="1"/>
    </cacheField>
    <cacheField name="Intutilé réduit" numFmtId="0">
      <sharedItems containsBlank="1"/>
    </cacheField>
    <cacheField name="CGR et intitulé réduit 1" numFmtId="0">
      <sharedItems containsBlank="1" count="3">
        <s v="ETS - Etablissement"/>
        <m/>
        <s v="x" u="1"/>
      </sharedItems>
    </cacheField>
    <cacheField name="CGR de niveau 2" numFmtId="0">
      <sharedItems containsBlank="1"/>
    </cacheField>
    <cacheField name="Intutilé réduit2" numFmtId="0">
      <sharedItems containsBlank="1"/>
    </cacheField>
    <cacheField name="CGR et intitulé réduit 2" numFmtId="0">
      <sharedItems containsBlank="1" count="4">
        <s v="FONC - FONCTIONNEMENT"/>
        <s v="INVEST - INVESTISSEMENT"/>
        <m/>
        <s v="xx" u="1"/>
      </sharedItems>
    </cacheField>
    <cacheField name="CGR de niveau 3" numFmtId="0">
      <sharedItems containsBlank="1"/>
    </cacheField>
    <cacheField name="Intutilé réduit3" numFmtId="0">
      <sharedItems containsBlank="1"/>
    </cacheField>
    <cacheField name="CGR et intitulé réduit 3" numFmtId="0">
      <sharedItems containsBlank="1" count="5">
        <s v="SG - SERVICES GENERAUX "/>
        <s v="SS - SERVICES SPECIAUX"/>
        <s v="OPECAP - OPE-CAP"/>
        <m/>
        <s v="xxx" u="1"/>
      </sharedItems>
    </cacheField>
    <cacheField name="CGR de niveau 4" numFmtId="0">
      <sharedItems containsBlank="1"/>
    </cacheField>
    <cacheField name="Intutilé réduit4" numFmtId="0">
      <sharedItems containsBlank="1"/>
    </cacheField>
    <cacheField name="CGR et intitulé réduit 4" numFmtId="0">
      <sharedItems containsBlank="1" count="8">
        <s v="AP - ACTIVITES PEDAGO. "/>
        <s v="VE - VIE DE L'ELEVE"/>
        <s v="ALO - ADMIN ET LOGISTIQUE"/>
        <s v="SRH - RESTAU ET HEBERG"/>
        <s v="OPC - OPERATIONS EN CAP"/>
        <m/>
        <s v="SCAMPUS - CAMPUS DES METIERS" u="1"/>
        <s v="SPLATE - 0" u="1"/>
      </sharedItems>
    </cacheField>
    <cacheField name="CGR de niveau 5" numFmtId="0">
      <sharedItems containsBlank="1"/>
    </cacheField>
    <cacheField name="Intutilé réduit5" numFmtId="0">
      <sharedItems containsBlank="1"/>
    </cacheField>
    <cacheField name="CGR et intitulé réduit 5" numFmtId="0">
      <sharedItems containsBlank="1" count="79">
        <s v="AP        BOP141 - _"/>
        <s v="AP        DEPART - _"/>
        <s v="AP        ENSGEN - _"/>
        <s v="AP        EPS - _"/>
        <s v="AP        ETABLI - _"/>
        <s v="AP        PROJET - _"/>
        <s v="AP        SEJOURSA - _"/>
        <s v="AP        VOYMER - _"/>
        <s v="AP        VOYSUISSE - _"/>
        <s v="VE        AEDREM - _"/>
        <s v="VE        BOP230 - _"/>
        <s v="ALO       ADMIN - _"/>
        <s v="ALO       DEPART - _"/>
        <s v="ALO       ETABLI - _"/>
        <s v="ALO       OP-SPE - _"/>
        <s v="SRH       CAF - _"/>
        <s v="SRH       COMMEN - _"/>
        <s v="SRH       ELEVES - _"/>
        <s v="OPC       EQUIPEM - _"/>
        <m/>
        <s v="VE        ASOC - CGR combinaison" u="1"/>
        <s v="SRH       AE - CGR combinaison" u="1"/>
        <s v="ALO       ADMIN - CGR combinaison" u="1"/>
        <s v="ALO       AIDES - CGR combinaison" u="1"/>
        <s v="VE        ADMIN - _" u="1"/>
        <s v="AP        OP-SPE - _" u="1"/>
        <s v="ALO       APG - _" u="1"/>
        <s v="SRH       .AA - _" u="1"/>
        <s v="SRH       ADMIN - _" u="1"/>
        <s v="AP        REVERS - _" u="1"/>
        <s v="ALO       CAMPUS - CGR combinaison" u="1"/>
        <s v="ALO       CREPED - CGR combinaison" u="1"/>
        <s v="ALO       OP-SPE - CGR combinaison" u="1"/>
        <s v="ALO       VSTOCK - CGR combinaison" u="1"/>
        <s v="OPC       EQGENE - _" u="1"/>
        <s v="VE        FONCT - _" u="1"/>
        <s v="AP        VSTOCK - _" u="1"/>
        <s v="SRH       ASOC - _" u="1"/>
        <s v="OPC       AIDES - _" u="1"/>
        <s v="OPC       AE - _" u="1"/>
        <s v="AP        ADMIN - CGR combinaison" u="1"/>
        <s v="SCAMPUS   COMMUN - _" u="1"/>
        <s v="AP        APG - _" u="1"/>
        <s v="OPC       . - _" u="1"/>
        <s v="SRH       COMMUN - _" u="1"/>
        <s v="OPC       ADMIN - _" u="1"/>
        <s v="SPLATE    OP-SPE - _" u="1"/>
        <s v="ALO       AIDES - _" u="1"/>
        <s v="VE        REVERS - _" u="1"/>
        <s v="ALO       AE - _" u="1"/>
        <s v="SRH       REVERS - _" u="1"/>
        <s v="OPC       ASOC - _" u="1"/>
        <s v="ALO       . - _" u="1"/>
        <s v="AP        RESPEC - _" u="1"/>
        <s v="VE        AIDES - CGR combinaison" u="1"/>
        <s v="ALO       CHARGE - _" u="1"/>
        <s v="ALO       SORTIEINV - _" u="1"/>
        <s v="SRH       ADMIN - CGR combinaison" u="1"/>
        <s v="VE        APG - _" u="1"/>
        <s v="AP        AIDES - _" u="1"/>
        <s v="AP        AE - _" u="1"/>
        <s v="ALO       AE - CGR combinaison" u="1"/>
        <s v="OPC       COMMUN - _" u="1"/>
        <s v="SRH       DENREE - CGR combinaison" u="1"/>
        <s v="ALO       .AA - _" u="1"/>
        <s v="AP        . - _" u="1"/>
        <s v="OPC       DENREE - _" u="1"/>
        <s v="OPC       EG - _" u="1"/>
        <s v="ALO       ASOC - _" u="1"/>
        <s v="OPC       OP-SPE - _" u="1"/>
        <s v="AP        ADMIN - _" u="1"/>
        <s v="ALO       REAFFE - _" u="1"/>
        <s v="VE        AIDES - _" u="1"/>
        <s v="VE        AE - _" u="1"/>
        <s v="SRH       AIDES - _" u="1"/>
        <s v="OPC       EQGENE - CGR combinaison" u="1"/>
        <s v="VE        . - _" u="1"/>
        <s v="SRH       . - _" u="1"/>
        <s v="ALO       OP-N-1 - _" u="1"/>
      </sharedItems>
    </cacheField>
    <cacheField name="CGR de niveau 6" numFmtId="0">
      <sharedItems containsBlank="1"/>
    </cacheField>
    <cacheField name="Intutilé réduit6" numFmtId="0">
      <sharedItems containsBlank="1"/>
    </cacheField>
    <cacheField name="CGR et intitulé réduit 6" numFmtId="0">
      <sharedItems containsBlank="1" count="219">
        <s v="AP        BOP141    .. - _"/>
        <s v="AP        DEPART    2DPRI - _"/>
        <s v="AP        ENSGEN    2SPEE - _"/>
        <s v="AP        EPS       2DEPSLOC - _"/>
        <s v="AP        ETABLI    0DEGRA - _"/>
        <s v="AP        ETABLI    0FAMILLE - _"/>
        <s v="AP        PROJET    0DAC - _"/>
        <s v="AP        PROJET    13ADPTHEA - _"/>
        <s v="AP        PROJET    2AUDIOVIS - _"/>
        <s v="AP        PROJET    2JADEN - _"/>
        <s v="AP        PROJET    2THEATRE - _"/>
        <s v="AP        SEJOURSA  0SEJOURSA - _"/>
        <s v="AP        VOYMER    2SPEM - _"/>
        <s v="AP        VOYSUISSE 0ATAUDIOV - _"/>
        <s v="AP        VOYSUISSE 0VOYSUI - _"/>
        <s v="VE        AEDREM    16AED - _"/>
        <s v="VE        BOP230    16EO- - _"/>
        <s v="VE        BOP230    16ESC - _"/>
        <s v="VE        BOP230    16FS- - _"/>
        <s v="VE        BOP230    16FSC - _"/>
        <s v="ALO       ADMIN     2FIBREOPT - _"/>
        <s v="ALO       ADMIN     2SPEE - _"/>
        <s v="ALO       DEPART    2DPRI - _"/>
        <s v="ALO       ETABLI    0DIVERS - _"/>
        <s v="ALO       ETABLI    0LOCATION - _"/>
        <s v="ALO       ETABLI    0LOGEMENT - _"/>
        <s v="ALO       OP-SPE    0AMORSINV - _"/>
        <s v="SRH       CAF       0PARS - _"/>
        <s v="SRH       COMMEN    0COMMEN - _"/>
        <s v="SRH       ELEVES    0FORFAIT - _"/>
        <s v="SRH       ELEVES    0TICKET - _"/>
        <s v="OPC       EQUIPEM   2SPEE - _"/>
        <m/>
        <s v="ALO       .         .. - _" u="1"/>
        <s v="VE        AIDES     0ANGFAM - _" u="1"/>
        <s v="ALO       ADMIN     0ASSUR - CGR combinaison" u="1"/>
        <s v="ALO       AE        0ASSUR - CGR combinaison" u="1"/>
        <s v="ALO       AIDES     0ASSUR - CGR combinaison" u="1"/>
        <s v="ALO       CAMPUS    0ASSUR - CGR combinaison" u="1"/>
        <s v="SRH       AIDES     0ANGFAM - _" u="1"/>
        <s v="ALO       AE        0MEDIAT - _" u="1"/>
        <s v="VE        ADMIN     0ASSUR - _" u="1"/>
        <s v="VE        AE        0ASSUR - _" u="1"/>
        <s v="VE        AIDES     0ASSUR - _" u="1"/>
        <s v="VE        APG       0ASSUR - _" u="1"/>
        <s v="VE        FONCT     0ASSUR - _" u="1"/>
        <s v="AP        .         13RPN - _" u="1"/>
        <s v="AP        ADMIN     13RPN - _" u="1"/>
        <s v="AP        AIDES     13RPN - _" u="1"/>
        <s v="AP        APG       13REP - _" u="1"/>
        <s v="VE        REVERS    0ARTPLA - _" u="1"/>
        <s v="SRH       ADMIN     0ASSUR - _" u="1"/>
        <s v="SRH       REVERS    0ASSUR - _" u="1"/>
        <s v="ALO       ADMIN     0ANGFOYER - _" u="1"/>
        <s v="ALO       ADMIN     0IRLFOYER - _" u="1"/>
        <s v="ALO       AE        0ANGFOYER - _" u="1"/>
        <s v="ALO       AIDES     0ANGFOYER - _" u="1"/>
        <s v="ALO       APG       0ANGFOYER - _" u="1"/>
        <s v="ALO       CHARGE    0ANGFOYER - _" u="1"/>
        <s v="AP        APG       0CARNETS - _" u="1"/>
        <s v="ALO       ADMIN     00CDI - _" u="1"/>
        <s v="ALO       AE        0INFIRMER - _" u="1"/>
        <s v="AP        .         .. - _" u="1"/>
        <s v="ALO       ADMIN     0EDMUS - _" u="1"/>
        <s v="AP        REVERS    13AIP - _" u="1"/>
        <s v="ALO       OP-N-1    0CAP- - _" u="1"/>
        <s v="ALO       SORTIEINV 0CAP- - _" u="1"/>
        <s v="AP        ADMIN     0ASSUR - CGR combinaison" u="1"/>
        <s v="OPC       ADMIN     0ABTADM - _" u="1"/>
        <s v="OPC       AIDES     0ABTADM - _" u="1"/>
        <s v="OPC       ASOC      0ABTADM - _" u="1"/>
        <s v="OPC       COMMUN    0ABTADM - _" u="1"/>
        <s v="OPC       DENREE    0ABTADM - _" u="1"/>
        <s v="OPC       EG        0ABTADM - _" u="1"/>
        <s v="ALO       CHARGE    2SUBV - _" u="1"/>
        <s v="ALO       ADMIN     0DEGRACDI - _" u="1"/>
        <s v="SRH       ADMIN     0DENRZZZZ - _" u="1"/>
        <s v="SRH       AE        0DENR - _" u="1"/>
        <s v="SRH       AIDES     0DENR - _" u="1"/>
        <s v="ALO       ADMIN     0CEXP - _" u="1"/>
        <s v="ALO       ADMIN     0ABTADM - CGR combinaison" u="1"/>
        <s v="ALO       ADMIN     0AFFRAN - CGR combinaison" u="1"/>
        <s v="ALO       ADMIN     0ANGFAM - CGR combinaison" u="1"/>
        <s v="ALO       ADMIN     0MEDCUI - CGR combinaison" u="1"/>
        <s v="ALO       AE        0ABTADM - CGR combinaison" u="1"/>
        <s v="ALO       AE        0ANGFAM - CGR combinaison" u="1"/>
        <s v="ALO       AIDES     0AFFRAN - CGR combinaison" u="1"/>
        <s v="ALO       CREPED    0AFFRAN - CGR combinaison" u="1"/>
        <s v="ALO       ADMIN     00CDE - _" u="1"/>
        <s v="AP        APG       0CCABTP - _" u="1"/>
        <s v="SRH       AIDES     16ADE - _" u="1"/>
        <s v="ALO       OP-SPE    0SINV - _" u="1"/>
        <s v="ALO       OP-SPE    0PROV - _" u="1"/>
        <s v="OPC       AIDES     0DGF - _" u="1"/>
        <s v="ALO       .AA       0ADMFOUR - _" u="1"/>
        <s v="ALO       ADMIN     0ADMFOUR - _" u="1"/>
        <s v="OPC       ADMIN     0ASSUR - _" u="1"/>
        <s v="OPC       AE        0ASSUR - _" u="1"/>
        <s v="OPC       AIDES     0ASSUR - _" u="1"/>
        <s v="SRH       ADMIN     0DECHET - _" u="1"/>
        <s v="SRH       ASOC      0DECHET - _" u="1"/>
        <s v="ALO       ADMIN     0AMOR - CGR combinaison" u="1"/>
        <s v="ALO       OP-SPE    0PROV - CGR combinaison" u="1"/>
        <s v="ALO       VSTOCK    0DIMI - CGR combinaison" u="1"/>
        <s v="AP        AIDES     16FS- - _" u="1"/>
        <s v="ALO       ADMIN     0ABTADM - _" u="1"/>
        <s v="ALO       AE        0ABTADM - _" u="1"/>
        <s v="ALO       AIDES     0ABTADM - _" u="1"/>
        <s v="ALO       APG       0ABTADM - _" u="1"/>
        <s v="VE        .         .. - _" u="1"/>
        <s v="VE        AIDES     .. - _" u="1"/>
        <s v="ALO       .         16FVL - _" u="1"/>
        <s v="ALO       AIDES     0CDIOUV - _" u="1"/>
        <s v="OPC       EQGENE    0AMORTIS - _" u="1"/>
        <s v="ALO       ADMIN     0AFFRAN - _" u="1"/>
        <s v="ALO       AE        0AFFRAN - _" u="1"/>
        <s v="ALO       AIDES     0AFFRAN - _" u="1"/>
        <s v="ALO       APG       0AFFRAN - _" u="1"/>
        <s v="ALO       CAMPUS    0AFFRAN - _" u="1"/>
        <s v="ALO       CHARGE    0AFFRAN - _" u="1"/>
        <s v="ALO       REAFFE    0AFFRAN - _" u="1"/>
        <s v="AP        ADMIN     0ABTADM - CGR combinaison" u="1"/>
        <s v="SRH       .         .. - _" u="1"/>
        <s v="AP        ADMIN     00CDE - _" u="1"/>
        <s v="AP        AIDES     00CDE - _" u="1"/>
        <s v="AP        APG       00CDE - _" u="1"/>
        <s v="ALO       AE        0ANGLETER - _" u="1"/>
        <s v="ALO       APG       0AMORSINV - _" u="1"/>
        <s v="AP        OP-SPE    0PROV - _" u="1"/>
        <s v="-" u="1"/>
        <s v="OPC       EQGENE    2TPISC - _" u="1"/>
        <s v="ALO       CHARGE    0CCCABTP - _" u="1"/>
        <s v="VE        ADMIN     0ANGFOYER - _" u="1"/>
        <s v="ALO       AE        0CAMPUS - _" u="1"/>
        <s v="ALO       APG       0CAMPUS - _" u="1"/>
        <s v="VE        AIDES     00CDI - _" u="1"/>
        <s v="ALO       AE        0ANGFAM - _" u="1"/>
        <s v="ALO       AIDES     0ANGFAM - _" u="1"/>
        <s v="ALO       APG       0ANGFAM - _" u="1"/>
        <s v="ALO       CAMPUS    0ANGFAM - _" u="1"/>
        <s v="ALO       CHARGE    0ANGFAM - _" u="1"/>
        <s v="AP        ADMIN     0ABTADM - _" u="1"/>
        <s v="AP        AE        0ABTADM - _" u="1"/>
        <s v="AP        AIDES     0ABTADM - _" u="1"/>
        <s v="AP        APG       0ABTADM - _" u="1"/>
        <s v="AP        .         16AEH - _" u="1"/>
        <s v="AP        ADMIN     16AEH - _" u="1"/>
        <s v="AP        AIDES     16AEH - _" u="1"/>
        <s v="AP        VSTOCK    0VSTOCK - _" u="1"/>
        <s v="AP        ADMIN     0AFFRAN - _" u="1"/>
        <s v="AP        APG       0AFFRAN - _" u="1"/>
        <s v="AP        APG       13MS- - _" u="1"/>
        <s v="ALO       OP-SPE    0AMOR - _" u="1"/>
        <s v="ALO       ADMIN     0ASSUR - _" u="1"/>
        <s v="ALO       AE        0ASSUR - _" u="1"/>
        <s v="ALO       APG       0ASSUR - _" u="1"/>
        <s v="ALO       CHARGE    0ASSUR - _" u="1"/>
        <s v="ALO       AE        0ARTPLA - _" u="1"/>
        <s v="ALO       CHARGE    0ARTPLA - _" u="1"/>
        <s v="ALO       ASOC      0AMORTIS - _" u="1"/>
        <s v="OPC       EQGENE    2DECHET - _" u="1"/>
        <s v="ALO       CHARGE    0CVC - _" u="1"/>
        <s v="ALO       ADMIN     0ACTFONC - _" u="1"/>
        <s v="ALO       AE        0ACTFONC - _" u="1"/>
        <s v="ALO       AIDES     0ACTFONC - _" u="1"/>
        <s v="ALO       APG       0ACTFONC - _" u="1"/>
        <s v="ALO       SORTIEINV 0ACTFONC - _" u="1"/>
        <s v="OPC       OP-SPE    0PIMO - _" u="1"/>
        <s v="VE        AIDES     16FS- - _" u="1"/>
        <s v="SRH       COMMUN    0CEXP - _" u="1"/>
        <s v="ALO       AIDES     0COMMENS - _" u="1"/>
        <s v="ALO       AE        0HUISSIER - _" u="1"/>
        <s v="OPC       .         .. - _" u="1"/>
        <s v="SRH       AIDES     16FS- - _" u="1"/>
        <s v="VE        ADMIN     00CDE - _" u="1"/>
        <s v="AP        ADMIN     0ASSUR - _" u="1"/>
        <s v="AP        AIDES     0ASSUR - _" u="1"/>
        <s v="AP        APG       0ASSUR - _" u="1"/>
        <s v="AP        APG       0ARTPLA - _" u="1"/>
        <s v="AP        REVERS    0ARTPLA - _" u="1"/>
        <s v="SRH       ADMIN     0ABTADM - CGR combinaison" u="1"/>
        <s v="ALO       ADMIN     0CDIABON - _" u="1"/>
        <s v="ALO       AE        0CDIABON - _" u="1"/>
        <s v="ALO       AIDES     0CDIABON - _" u="1"/>
        <s v="SPLATE    OP-SPE    0PROV - _" u="1"/>
        <s v="AP        ADMIN     0ACTFONC - _" u="1"/>
        <s v="AP        AIDES     0ACTFONC - _" u="1"/>
        <s v="ALO       ADMIN     0CARB - _" u="1"/>
        <s v="ALO       AE        0CARB - _" u="1"/>
        <s v="ALO       AIDES     0CARB - _" u="1"/>
        <s v="ALO       APG       0CARB - _" u="1"/>
        <s v="ALO       CHARGE    0CARB - _" u="1"/>
        <s v="SCAMPUS   COMMUN    0ABTADM - _" u="1"/>
        <s v="SRH       .AA       0ADMFOUR - _" u="1"/>
        <s v="VE        AIDES     16FS- - CGR combinaison" u="1"/>
        <s v="VE        ASOC      0CESC - CGR combinaison" u="1"/>
        <s v="ALO       CAMPUS    0DEGRACAR - _" u="1"/>
        <s v="VE        ADMIN     0ABTADM - _" u="1"/>
        <s v="VE        AIDES     0ABTADM - _" u="1"/>
        <s v="VE        APG       0ABTADM - _" u="1"/>
        <s v="VE        FONCT     0ABTADM - _" u="1"/>
        <s v="SRH       DENREE    0DENR - CGR combinaison" u="1"/>
        <s v="VE        .         16FVL - _" u="1"/>
        <s v="VE        AIDES     16FVL - _" u="1"/>
        <s v="AP        RESPEC    0COMMENS - _" u="1"/>
        <s v="SRH       AIDES     0ABTADM - _" u="1"/>
        <s v="VE        ADMIN     0ANGLETER - _" u="1"/>
        <s v="SRH       .         0AFFRAN - _" u="1"/>
        <s v="SRH       ADMIN     0AFFRAN - _" u="1"/>
        <s v="SRH       AIDES     0AFFRAN - _" u="1"/>
        <s v="SRH       ASOC      0AFFRAN - _" u="1"/>
        <s v="SRH       COMMUN    0AFFRAN - _" u="1"/>
        <s v="AP        .         16DAL - _" u="1"/>
        <s v="AP        AIDES     16DAL - _" u="1"/>
        <s v="AP        AIDES     0CDIABON - _" u="1"/>
        <s v="OPC       EQGENE    2SECBAD - _" u="1"/>
        <s v="ALO       ADMIN     0CARNETS - _" u="1"/>
        <s v="ALO       AE        0CARNETS - _" u="1"/>
        <s v="ALO       CHARGE    0CARNETS - _" u="1"/>
      </sharedItems>
    </cacheField>
    <cacheField name="CGR de niveau 7" numFmtId="0">
      <sharedItems containsNonDate="0" containsString="0" containsBlank="1"/>
    </cacheField>
    <cacheField name="Intutilé réduit7" numFmtId="0">
      <sharedItems containsNonDate="0" containsString="0" containsBlank="1"/>
    </cacheField>
    <cacheField name="CGR et intitulé réduit 7" numFmtId="0">
      <sharedItems containsBlank="1"/>
    </cacheField>
    <cacheField name="CGR de niveau 8" numFmtId="0">
      <sharedItems containsNonDate="0" containsString="0" containsBlank="1"/>
    </cacheField>
    <cacheField name="Intutilé réduit8" numFmtId="0">
      <sharedItems containsNonDate="0" containsString="0" containsBlank="1"/>
    </cacheField>
    <cacheField name="CGR et intitulé réduit 8" numFmtId="0">
      <sharedItems containsBlank="1"/>
    </cacheField>
    <cacheField name="CGR de niveau 9" numFmtId="0">
      <sharedItems containsNonDate="0" containsString="0" containsBlank="1"/>
    </cacheField>
    <cacheField name="Intutilé réduit9" numFmtId="0">
      <sharedItems containsNonDate="0" containsString="0" containsBlank="1"/>
    </cacheField>
    <cacheField name="CGR et intitulé réduit 9" numFmtId="0">
      <sharedItems containsBlank="1"/>
    </cacheField>
    <cacheField name="CGR de niveau 10" numFmtId="0">
      <sharedItems containsNonDate="0" containsString="0" containsBlank="1"/>
    </cacheField>
    <cacheField name="Intutilé réduit10" numFmtId="0">
      <sharedItems containsNonDate="0" containsString="0" containsBlank="1"/>
    </cacheField>
    <cacheField name="CGR et intitulé réduit 10" numFmtId="0">
      <sharedItems containsBlank="1"/>
    </cacheField>
    <cacheField name="Poste de niveau 1" numFmtId="0">
      <sharedItems containsBlank="1"/>
    </cacheField>
    <cacheField name="Intutilé réduit11" numFmtId="0">
      <sharedItems containsBlank="1"/>
    </cacheField>
    <cacheField name="Poste et intitulé réduit 1" numFmtId="0">
      <sharedItems containsBlank="1"/>
    </cacheField>
    <cacheField name="Poste de niveau 2" numFmtId="0">
      <sharedItems containsBlank="1"/>
    </cacheField>
    <cacheField name="Intutilé réduit12" numFmtId="0">
      <sharedItems containsBlank="1"/>
    </cacheField>
    <cacheField name="Poste et intitulé réduit 2" numFmtId="0">
      <sharedItems containsBlank="1"/>
    </cacheField>
    <cacheField name="Poste de niveau 3" numFmtId="0">
      <sharedItems containsBlank="1"/>
    </cacheField>
    <cacheField name="Intutilé réduit13" numFmtId="0">
      <sharedItems containsBlank="1"/>
    </cacheField>
    <cacheField name="Poste et intitulé réduit 3" numFmtId="0">
      <sharedItems containsBlank="1" count="61">
        <s v="741130 - SUBV MEN- P141"/>
        <s v="744310 - SUBV FCT-DEPT"/>
        <s v="744380 - AUTRE SUBV.DEPARTEME"/>
        <s v="708800 - AUT. PROD. ACT. ANN."/>
        <s v="706700 - ELEVES VOYAGE-SORTIE"/>
        <s v="706800 - AUT. PRESTATIONS"/>
        <s v="741800 - SUBV AUT. MINISTERES"/>
        <s v="746800 - AUTRES DONS ET LEGS"/>
        <s v="744480 - AUTRE SUBV.COMM"/>
        <s v="741150 - SUBV MEN - P230-AED"/>
        <s v="741160 - SUBV MEN-P230-AUTRE"/>
        <s v="708300 - LOCATIONS DIVERSES"/>
        <s v="781320 - Q.P.RES.F.ACT.AUT.ET"/>
        <s v="744800 - AUTRES SUBVENTIONS"/>
        <s v="706230 - REST.AUTRES TIERS"/>
        <s v="706210 - REST.ELEVES FORFAIT"/>
        <s v="706220 - REST.ELEVES H.FORF"/>
        <s v="131300 - FIN.NON.ACTIF.DEP"/>
        <m/>
        <s v="232000 - IMMO.INCORP.EN.COURS" u="1"/>
        <s v="-" u="1"/>
        <s v="606700 - F.MAT.ENS. NON IMM." u="1"/>
        <s v="602110 - ACH. APPRO. CHARBON" u="1"/>
        <s v="615000 - ENTR. REPAR. EL.ACT." u="1"/>
        <s v="681100 - DOT.IMMO.CORP.INCOR." u="1"/>
        <s v="625120 - VOY.DEPL. PERSONNEL" u="1"/>
        <s v="625111 - VOY.DEPL.EL. VOYAGES" u="1"/>
        <s v="658400 - DECH.REM.GRAC. REGI." u="1"/>
        <s v="601300 - ACHATS DE MAT.OEUVRE" u="1"/>
        <s v="744600 - SUBVENTIONS UE" u="1"/>
        <s v="205300 - LOGICIELS" u="1"/>
        <s v="656100 - V.COMPT.  IMMO.I." u="1"/>
        <s v="746600 - CAISSE DE SOLIDARITE" u="1"/>
        <s v="748100 - REVST TA" u="1"/>
        <s v="628800 - AUTRES CH. EXT. DIV." u="1"/>
        <s v="131200 - FIN.NON.ACTIF.REG." u="1"/>
        <s v="658300 - ANNUL TR EX.ANT." u="1"/>
        <s v="744510 - SUBVENTIONS  ASP" u="1"/>
        <s v="215000 - INST. TECHN-MAT" u="1"/>
        <s v="218300 - MAT. BUR. &amp; INFORMAT" u="1"/>
        <s v="602220 - ACH. F.C.FOURN.SCOL." u="1"/>
        <s v="xxx" u="1"/>
        <s v="231000 - IMMO CORP.EN.COURS" u="1"/>
        <s v="654200 - REM. GRAC. A.CREANC." u="1"/>
        <s v="758800 - AUTRES PRODUITS DIV." u="1"/>
        <s v="668300 - CH. FIN. AOR" u="1"/>
        <s v="657610 - AIDE SOCIALE EL.ETAT" u="1"/>
        <s v="744580 - AUT.SUB.ETABS PUB." u="1"/>
        <s v="213000 - CONSTRUCTIONS" u="1"/>
        <s v="611200 - /S-TRAIT. DIV.ENTR." u="1"/>
        <s v="681500 - DOT.PROV.RISQ.CH.E." u="1"/>
        <s v="601100 - ACHATS DE DENREES" u="1"/>
        <s v="606800 - MAT.MOB.OUT.NON IMM." u="1"/>
        <s v="642000 - REMUN. PL. ENSEIGNT." u="1"/>
        <s v="626000 - FRAIS POST.TELECOM." u="1"/>
        <s v="657620 - AIDE SOCIALE EL.CT" u="1"/>
        <s v="644500 - REMUN. CONT. AID." u="1"/>
        <s v="708700 - PART. AUT. ORG." u="1"/>
        <s v="656200 - V.COMPT.  IMMO.C." u="1"/>
        <s v="635000 - AUTR.IMPOTS TAX. ADM" u="1"/>
        <s v="212000 - AGT-AMT TERRAIN" u="1"/>
      </sharedItems>
    </cacheField>
    <cacheField name="Poste de niveau 4" numFmtId="0">
      <sharedItems containsNonDate="0" containsString="0" containsBlank="1"/>
    </cacheField>
    <cacheField name="Intutilé réduit14" numFmtId="0">
      <sharedItems containsNonDate="0" containsString="0" containsBlank="1"/>
    </cacheField>
    <cacheField name="Poste et intitulé réduit 4" numFmtId="0">
      <sharedItems containsBlank="1"/>
    </cacheField>
    <cacheField name="Poste de niveau 5" numFmtId="0">
      <sharedItems containsNonDate="0" containsString="0" containsBlank="1"/>
    </cacheField>
    <cacheField name="Intutilé réduit15" numFmtId="0">
      <sharedItems containsNonDate="0" containsString="0" containsBlank="1"/>
    </cacheField>
    <cacheField name="Poste et intitulé réduit 5" numFmtId="0">
      <sharedItems containsBlank="1"/>
    </cacheField>
    <cacheField name="Poste de niveau 6" numFmtId="0">
      <sharedItems containsNonDate="0" containsString="0" containsBlank="1"/>
    </cacheField>
    <cacheField name="Intutilé réduit16" numFmtId="0">
      <sharedItems containsNonDate="0" containsString="0" containsBlank="1"/>
    </cacheField>
    <cacheField name="Poste et intitulé réduit 6" numFmtId="0">
      <sharedItems containsBlank="1"/>
    </cacheField>
    <cacheField name="Poste de niveau 7" numFmtId="0">
      <sharedItems containsNonDate="0" containsString="0" containsBlank="1"/>
    </cacheField>
    <cacheField name="Intutilé réduit17" numFmtId="0">
      <sharedItems containsNonDate="0" containsString="0" containsBlank="1"/>
    </cacheField>
    <cacheField name="Poste et intitulé réduit 7" numFmtId="0">
      <sharedItems containsBlank="1"/>
    </cacheField>
    <cacheField name="Poste de niveau 8" numFmtId="0">
      <sharedItems containsNonDate="0" containsString="0" containsBlank="1"/>
    </cacheField>
    <cacheField name="Intutilé réduit18" numFmtId="0">
      <sharedItems containsNonDate="0" containsString="0" containsBlank="1"/>
    </cacheField>
    <cacheField name="Poste et intitulé réduit 8" numFmtId="0">
      <sharedItems containsBlank="1"/>
    </cacheField>
    <cacheField name="Poste de niveau 9" numFmtId="0">
      <sharedItems containsNonDate="0" containsString="0" containsBlank="1"/>
    </cacheField>
    <cacheField name="Intutilé réduit19" numFmtId="0">
      <sharedItems containsNonDate="0" containsString="0" containsBlank="1"/>
    </cacheField>
    <cacheField name="Poste et intitulé réduit 9" numFmtId="0">
      <sharedItems containsBlank="1"/>
    </cacheField>
    <cacheField name="Poste de niveau 10" numFmtId="0">
      <sharedItems containsNonDate="0" containsString="0" containsBlank="1"/>
    </cacheField>
    <cacheField name="Intutilé réduit20" numFmtId="0">
      <sharedItems containsNonDate="0" containsString="0" containsBlank="1"/>
    </cacheField>
    <cacheField name="Poste et intitulé réduit 10" numFmtId="0">
      <sharedItems containsBlank="1"/>
    </cacheField>
    <cacheField name="Compte" numFmtId="0">
      <sharedItems containsNonDate="0" containsString="0" containsBlank="1"/>
    </cacheField>
    <cacheField name="Intutilé réduit21" numFmtId="0">
      <sharedItems containsNonDate="0" containsString="0" containsBlank="1"/>
    </cacheField>
    <cacheField name="Montant colonne 1" numFmtId="0">
      <sharedItems containsString="0" containsBlank="1" containsNumber="1" minValue="0" maxValue="400000"/>
    </cacheField>
    <cacheField name="Montant colonne 2" numFmtId="0">
      <sharedItems containsString="0" containsBlank="1" containsNumber="1" minValue="0" maxValue="353467.61"/>
    </cacheField>
    <cacheField name="Montant colonne 3" numFmtId="0">
      <sharedItems containsString="0" containsBlank="1" containsNumber="1" minValue="0" maxValue="353467.61"/>
    </cacheField>
    <cacheField name="Montant colonne 4" numFmtId="0">
      <sharedItems containsString="0" containsBlank="1" containsNumber="1" containsInteger="1" minValue="0" maxValue="0"/>
    </cacheField>
    <cacheField name="Montant colonne 5" numFmtId="0">
      <sharedItems containsString="0" containsBlank="1" containsNumber="1" minValue="-46532.39" maxValue="614"/>
    </cacheField>
    <cacheField name="Montant colonne 6" numFmtId="0">
      <sharedItems containsString="0" containsBlank="1" containsNumber="1" containsInteger="1" minValue="0" maxValue="0"/>
    </cacheField>
    <cacheField name="Montant colonne 7" numFmtId="0">
      <sharedItems containsString="0" containsBlank="1" containsNumber="1" containsInteger="1" minValue="0" maxValue="0"/>
    </cacheField>
    <cacheField name="Montant colonne 8" numFmtId="0">
      <sharedItems containsString="0" containsBlank="1" containsNumber="1" containsInteger="1" minValue="0" maxValue="0"/>
    </cacheField>
    <cacheField name="Montant colonne 9" numFmtId="0">
      <sharedItems containsString="0" containsBlank="1" containsNumber="1" containsInteger="1" minValue="0" maxValue="0"/>
    </cacheField>
    <cacheField name="Montant colonne 10" numFmtId="0">
      <sharedItems containsString="0" containsBlank="1" containsNumber="1" containsInteger="1" minValue="0" maxValue="0"/>
    </cacheField>
    <cacheField name="Montant colonne 11" numFmtId="0">
      <sharedItems containsString="0" containsBlank="1" containsNumber="1" containsInteger="1" minValue="0" maxValue="0"/>
    </cacheField>
    <cacheField name="Montant colonne 12" numFmtId="0">
      <sharedItems containsString="0" containsBlank="1" containsNumber="1" containsInteger="1" minValue="0" maxValue="0"/>
    </cacheField>
    <cacheField name="Montant colonne 13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BOP141"/>
    <s v="_"/>
    <x v="0"/>
    <s v="AP        BOP141    .."/>
    <s v="_"/>
    <x v="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30"/>
    <s v="SUBV MEN- P141"/>
    <x v="0"/>
    <m/>
    <m/>
    <s v="-"/>
    <m/>
    <m/>
    <s v="-"/>
    <m/>
    <m/>
    <s v="-"/>
    <m/>
    <m/>
    <s v="-"/>
    <m/>
    <m/>
    <s v="-"/>
    <m/>
    <m/>
    <s v="-"/>
    <m/>
    <m/>
    <s v="-"/>
    <m/>
    <m/>
    <n v="35510.14"/>
    <n v="20088.63"/>
    <n v="20088.63"/>
    <n v="0"/>
    <n v="-15421.5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DEPART"/>
    <s v="_"/>
    <x v="1"/>
    <s v="AP        DEPART    2DPRI"/>
    <s v="_"/>
    <x v="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10"/>
    <s v="SUBV FCT-DEPT"/>
    <x v="1"/>
    <m/>
    <m/>
    <s v="-"/>
    <m/>
    <m/>
    <s v="-"/>
    <m/>
    <m/>
    <s v="-"/>
    <m/>
    <m/>
    <s v="-"/>
    <m/>
    <m/>
    <s v="-"/>
    <m/>
    <m/>
    <s v="-"/>
    <m/>
    <m/>
    <s v="-"/>
    <m/>
    <m/>
    <n v="24000"/>
    <n v="24000"/>
    <n v="24000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NSGEN"/>
    <s v="_"/>
    <x v="2"/>
    <s v="AP        ENSGEN    2SPEE"/>
    <s v="_"/>
    <x v="2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4708.2700000000004"/>
    <n v="4708.2700000000004"/>
    <n v="0"/>
    <n v="-291.7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PS"/>
    <s v="_"/>
    <x v="3"/>
    <s v="AP        EPS       2DEPSLOC"/>
    <s v="_"/>
    <x v="3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31371.18"/>
    <n v="28547"/>
    <n v="28547"/>
    <n v="0"/>
    <n v="-2824.1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TABLI"/>
    <s v="_"/>
    <x v="4"/>
    <s v="AP        ETABLI    0DEGRA"/>
    <s v="_"/>
    <x v="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800"/>
    <s v="AUT. PROD. ACT. ANN."/>
    <x v="3"/>
    <m/>
    <m/>
    <s v="-"/>
    <m/>
    <m/>
    <s v="-"/>
    <m/>
    <m/>
    <s v="-"/>
    <m/>
    <m/>
    <s v="-"/>
    <m/>
    <m/>
    <s v="-"/>
    <m/>
    <m/>
    <s v="-"/>
    <m/>
    <m/>
    <s v="-"/>
    <m/>
    <m/>
    <n v="1500"/>
    <n v="2114"/>
    <n v="2114"/>
    <n v="0"/>
    <n v="61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TABLI"/>
    <s v="_"/>
    <x v="4"/>
    <s v="AP        ETABLI    0FAMILLE"/>
    <s v="_"/>
    <x v="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700"/>
    <s v="ELEVES VOYAGE-SORTIE"/>
    <x v="4"/>
    <m/>
    <m/>
    <s v="-"/>
    <m/>
    <m/>
    <s v="-"/>
    <m/>
    <m/>
    <s v="-"/>
    <m/>
    <m/>
    <s v="-"/>
    <m/>
    <m/>
    <s v="-"/>
    <m/>
    <m/>
    <s v="-"/>
    <m/>
    <m/>
    <s v="-"/>
    <m/>
    <m/>
    <n v="500"/>
    <n v="0"/>
    <n v="0"/>
    <n v="0"/>
    <n v="-5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ETABLI"/>
    <s v="_"/>
    <x v="4"/>
    <s v="AP        ETABLI    0FAMILLE"/>
    <s v="_"/>
    <x v="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800"/>
    <s v="AUT. PRESTATIONS"/>
    <x v="5"/>
    <m/>
    <m/>
    <s v="-"/>
    <m/>
    <m/>
    <s v="-"/>
    <m/>
    <m/>
    <s v="-"/>
    <m/>
    <m/>
    <s v="-"/>
    <m/>
    <m/>
    <s v="-"/>
    <m/>
    <m/>
    <s v="-"/>
    <m/>
    <m/>
    <s v="-"/>
    <m/>
    <m/>
    <n v="0"/>
    <n v="486"/>
    <n v="486"/>
    <n v="0"/>
    <n v="48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5"/>
    <s v="AP        PROJET    0DAC"/>
    <s v="_"/>
    <x v="6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800"/>
    <s v="SUBV AUT. MINISTERES"/>
    <x v="6"/>
    <m/>
    <m/>
    <s v="-"/>
    <m/>
    <m/>
    <s v="-"/>
    <m/>
    <m/>
    <s v="-"/>
    <m/>
    <m/>
    <s v="-"/>
    <m/>
    <m/>
    <s v="-"/>
    <m/>
    <m/>
    <s v="-"/>
    <m/>
    <m/>
    <s v="-"/>
    <m/>
    <m/>
    <n v="10742.01"/>
    <n v="3590.7"/>
    <n v="3590.7"/>
    <n v="0"/>
    <n v="-7151.3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5"/>
    <s v="AP        PROJET    13ADPTHEA"/>
    <s v="_"/>
    <x v="7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30"/>
    <s v="SUBV MEN- P141"/>
    <x v="0"/>
    <m/>
    <m/>
    <s v="-"/>
    <m/>
    <m/>
    <s v="-"/>
    <m/>
    <m/>
    <s v="-"/>
    <m/>
    <m/>
    <s v="-"/>
    <m/>
    <m/>
    <s v="-"/>
    <m/>
    <m/>
    <s v="-"/>
    <m/>
    <m/>
    <s v="-"/>
    <m/>
    <m/>
    <n v="46.31"/>
    <n v="0"/>
    <n v="0"/>
    <n v="0"/>
    <n v="-46.3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5"/>
    <s v="AP        PROJET    2AUDIOVIS"/>
    <s v="_"/>
    <x v="8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834.05"/>
    <n v="0"/>
    <n v="0"/>
    <n v="0"/>
    <n v="-834.0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5"/>
    <s v="AP        PROJET    2JADEN"/>
    <s v="_"/>
    <x v="9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884.98"/>
    <n v="0"/>
    <n v="0"/>
    <n v="0"/>
    <n v="-884.98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PROJET"/>
    <s v="_"/>
    <x v="5"/>
    <s v="AP        PROJET    2THEATRE"/>
    <s v="_"/>
    <x v="1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183.13"/>
    <n v="0"/>
    <n v="0"/>
    <n v="0"/>
    <n v="-183.1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SEJOURSA"/>
    <s v="_"/>
    <x v="6"/>
    <s v="AP        SEJOURSA  0SEJOURSA"/>
    <s v="_"/>
    <x v="1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6800"/>
    <s v="AUTRES DONS ET LEGS"/>
    <x v="7"/>
    <m/>
    <m/>
    <s v="-"/>
    <m/>
    <m/>
    <s v="-"/>
    <m/>
    <m/>
    <s v="-"/>
    <m/>
    <m/>
    <s v="-"/>
    <m/>
    <m/>
    <s v="-"/>
    <m/>
    <m/>
    <s v="-"/>
    <m/>
    <m/>
    <s v="-"/>
    <m/>
    <m/>
    <n v="4000"/>
    <n v="3680.66"/>
    <n v="3680.66"/>
    <n v="0"/>
    <n v="-319.3399999999999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MER"/>
    <s v="_"/>
    <x v="7"/>
    <s v="AP        VOYMER    2SPEM"/>
    <s v="_"/>
    <x v="12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5000"/>
    <n v="3587.26"/>
    <n v="3587.26"/>
    <n v="0"/>
    <n v="-1412.74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SUISSE"/>
    <s v="_"/>
    <x v="8"/>
    <s v="AP        VOYSUISSE 0ATAUDIOV"/>
    <s v="_"/>
    <x v="13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480"/>
    <s v="AUTRE SUBV.COMM"/>
    <x v="8"/>
    <m/>
    <m/>
    <s v="-"/>
    <m/>
    <m/>
    <s v="-"/>
    <m/>
    <m/>
    <s v="-"/>
    <m/>
    <m/>
    <s v="-"/>
    <m/>
    <m/>
    <s v="-"/>
    <m/>
    <m/>
    <s v="-"/>
    <m/>
    <m/>
    <s v="-"/>
    <m/>
    <m/>
    <n v="4136.16"/>
    <n v="0"/>
    <n v="0"/>
    <n v="0"/>
    <n v="-4136.1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P"/>
    <s v="ACTIVITES PEDAGO. "/>
    <x v="0"/>
    <s v="AP        VOYSUISSE"/>
    <s v="_"/>
    <x v="8"/>
    <s v="AP        VOYSUISSE 0VOYSUI"/>
    <s v="_"/>
    <x v="1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6800"/>
    <s v="AUTRES DONS ET LEGS"/>
    <x v="7"/>
    <m/>
    <m/>
    <s v="-"/>
    <m/>
    <m/>
    <s v="-"/>
    <m/>
    <m/>
    <s v="-"/>
    <m/>
    <m/>
    <s v="-"/>
    <m/>
    <m/>
    <s v="-"/>
    <m/>
    <m/>
    <s v="-"/>
    <m/>
    <m/>
    <s v="-"/>
    <m/>
    <m/>
    <n v="17605.32"/>
    <n v="11980"/>
    <n v="11980"/>
    <n v="0"/>
    <n v="-5625.3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AEDREM"/>
    <s v="_"/>
    <x v="9"/>
    <s v="VE        AEDREM    16AED"/>
    <s v="_"/>
    <x v="1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50"/>
    <s v="SUBV MEN - P230-AED"/>
    <x v="9"/>
    <m/>
    <m/>
    <s v="-"/>
    <m/>
    <m/>
    <s v="-"/>
    <m/>
    <m/>
    <s v="-"/>
    <m/>
    <m/>
    <s v="-"/>
    <m/>
    <m/>
    <s v="-"/>
    <m/>
    <m/>
    <s v="-"/>
    <m/>
    <m/>
    <s v="-"/>
    <m/>
    <m/>
    <n v="400000"/>
    <n v="353467.61"/>
    <n v="353467.61"/>
    <n v="0"/>
    <n v="-46532.39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10"/>
    <s v="VE        BOP230    16EO-"/>
    <s v="_"/>
    <x v="16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10"/>
    <m/>
    <m/>
    <s v="-"/>
    <m/>
    <m/>
    <s v="-"/>
    <m/>
    <m/>
    <s v="-"/>
    <m/>
    <m/>
    <s v="-"/>
    <m/>
    <m/>
    <s v="-"/>
    <m/>
    <m/>
    <s v="-"/>
    <m/>
    <m/>
    <s v="-"/>
    <m/>
    <m/>
    <n v="10768.7"/>
    <n v="10420.08"/>
    <n v="10420.08"/>
    <n v="0"/>
    <n v="-348.62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10"/>
    <s v="VE        BOP230    16ESC"/>
    <s v="_"/>
    <x v="17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10"/>
    <m/>
    <m/>
    <s v="-"/>
    <m/>
    <m/>
    <s v="-"/>
    <m/>
    <m/>
    <s v="-"/>
    <m/>
    <m/>
    <s v="-"/>
    <m/>
    <m/>
    <s v="-"/>
    <m/>
    <m/>
    <s v="-"/>
    <m/>
    <m/>
    <s v="-"/>
    <m/>
    <m/>
    <n v="132.34"/>
    <n v="53.19"/>
    <n v="53.19"/>
    <n v="0"/>
    <n v="-79.15000000000000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10"/>
    <s v="VE        BOP230    16FS-"/>
    <s v="_"/>
    <x v="18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10"/>
    <m/>
    <m/>
    <s v="-"/>
    <m/>
    <m/>
    <s v="-"/>
    <m/>
    <m/>
    <s v="-"/>
    <m/>
    <m/>
    <s v="-"/>
    <m/>
    <m/>
    <s v="-"/>
    <m/>
    <m/>
    <s v="-"/>
    <m/>
    <m/>
    <s v="-"/>
    <m/>
    <m/>
    <n v="4349.25"/>
    <n v="2200.69"/>
    <n v="2200.69"/>
    <n v="0"/>
    <n v="-2148.5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VE"/>
    <s v="VIE DE L'ELEVE"/>
    <x v="1"/>
    <s v="VE        BOP230"/>
    <s v="_"/>
    <x v="10"/>
    <s v="VE        BOP230    16FSC"/>
    <s v="_"/>
    <x v="19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1160"/>
    <s v="SUBV MEN-P230-AUTRE"/>
    <x v="10"/>
    <m/>
    <m/>
    <s v="-"/>
    <m/>
    <m/>
    <s v="-"/>
    <m/>
    <m/>
    <s v="-"/>
    <m/>
    <m/>
    <s v="-"/>
    <m/>
    <m/>
    <s v="-"/>
    <m/>
    <m/>
    <s v="-"/>
    <m/>
    <m/>
    <s v="-"/>
    <m/>
    <m/>
    <n v="6227.16"/>
    <n v="5090.51"/>
    <n v="5090.51"/>
    <n v="0"/>
    <n v="-1136.6500000000001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1"/>
    <s v="ALO       ADMIN     2FIBREOPT"/>
    <s v="_"/>
    <x v="2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11327.4"/>
    <n v="4676.17"/>
    <n v="4676.17"/>
    <n v="0"/>
    <n v="-6651.23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ADMIN"/>
    <s v="_"/>
    <x v="11"/>
    <s v="ALO       ADMIN     2SPEE"/>
    <s v="_"/>
    <x v="2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80"/>
    <s v="AUTRE SUBV.DEPARTEME"/>
    <x v="2"/>
    <m/>
    <m/>
    <s v="-"/>
    <m/>
    <m/>
    <s v="-"/>
    <m/>
    <m/>
    <s v="-"/>
    <m/>
    <m/>
    <s v="-"/>
    <m/>
    <m/>
    <s v="-"/>
    <m/>
    <m/>
    <s v="-"/>
    <m/>
    <m/>
    <s v="-"/>
    <m/>
    <m/>
    <n v="6289"/>
    <n v="6191.53"/>
    <n v="6191.53"/>
    <n v="0"/>
    <n v="-97.47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DEPART"/>
    <s v="_"/>
    <x v="12"/>
    <s v="ALO       DEPART    2DPRI"/>
    <s v="_"/>
    <x v="22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310"/>
    <s v="SUBV FCT-DEPT"/>
    <x v="1"/>
    <m/>
    <m/>
    <s v="-"/>
    <m/>
    <m/>
    <s v="-"/>
    <m/>
    <m/>
    <s v="-"/>
    <m/>
    <m/>
    <s v="-"/>
    <m/>
    <m/>
    <s v="-"/>
    <m/>
    <m/>
    <s v="-"/>
    <m/>
    <m/>
    <s v="-"/>
    <m/>
    <m/>
    <n v="106299.5"/>
    <n v="106299.5"/>
    <n v="106299.5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13"/>
    <s v="ALO       ETABLI    0DIVERS"/>
    <s v="_"/>
    <x v="23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800"/>
    <s v="AUT. PROD. ACT. ANN."/>
    <x v="3"/>
    <m/>
    <m/>
    <s v="-"/>
    <m/>
    <m/>
    <s v="-"/>
    <m/>
    <m/>
    <s v="-"/>
    <m/>
    <m/>
    <s v="-"/>
    <m/>
    <m/>
    <s v="-"/>
    <m/>
    <m/>
    <s v="-"/>
    <m/>
    <m/>
    <s v="-"/>
    <m/>
    <m/>
    <n v="250"/>
    <n v="0"/>
    <n v="0"/>
    <n v="0"/>
    <n v="-25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13"/>
    <s v="ALO       ETABLI    0LOCATION"/>
    <s v="_"/>
    <x v="24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800"/>
    <s v="AUT. PRESTATIONS"/>
    <x v="5"/>
    <m/>
    <m/>
    <s v="-"/>
    <m/>
    <m/>
    <s v="-"/>
    <m/>
    <m/>
    <s v="-"/>
    <m/>
    <m/>
    <s v="-"/>
    <m/>
    <m/>
    <s v="-"/>
    <m/>
    <m/>
    <s v="-"/>
    <m/>
    <m/>
    <s v="-"/>
    <m/>
    <m/>
    <n v="3000"/>
    <n v="800"/>
    <n v="800"/>
    <n v="0"/>
    <n v="-22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ETABLI"/>
    <s v="_"/>
    <x v="13"/>
    <s v="ALO       ETABLI    0LOGEMENT"/>
    <s v="_"/>
    <x v="25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8300"/>
    <s v="LOCATIONS DIVERSES"/>
    <x v="11"/>
    <m/>
    <m/>
    <s v="-"/>
    <m/>
    <m/>
    <s v="-"/>
    <m/>
    <m/>
    <s v="-"/>
    <m/>
    <m/>
    <s v="-"/>
    <m/>
    <m/>
    <s v="-"/>
    <m/>
    <m/>
    <s v="-"/>
    <m/>
    <m/>
    <s v="-"/>
    <m/>
    <m/>
    <n v="300"/>
    <n v="0"/>
    <n v="0"/>
    <n v="0"/>
    <n v="-30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G"/>
    <s v="SERVICES GENERAUX "/>
    <x v="0"/>
    <s v="ALO"/>
    <s v="ADMIN ET LOGISTIQUE"/>
    <x v="2"/>
    <s v="ALO       OP-SPE"/>
    <s v="_"/>
    <x v="14"/>
    <s v="ALO       OP-SPE    0AMORSINV"/>
    <s v="_"/>
    <x v="26"/>
    <m/>
    <m/>
    <s v="-"/>
    <m/>
    <m/>
    <s v="-"/>
    <m/>
    <m/>
    <s v="-"/>
    <m/>
    <m/>
    <s v="-"/>
    <s v="REC"/>
    <s v="Total Recettes"/>
    <s v="REC - Total Recettes"/>
    <s v="OS/REC"/>
    <s v="RECETTES OPE SPE"/>
    <s v="OS/REC - RECETTES OPE SPE"/>
    <s v="781320"/>
    <s v="Q.P.RES.F.ACT.AUT.ET"/>
    <x v="12"/>
    <m/>
    <m/>
    <s v="-"/>
    <m/>
    <m/>
    <s v="-"/>
    <m/>
    <m/>
    <s v="-"/>
    <m/>
    <m/>
    <s v="-"/>
    <m/>
    <m/>
    <s v="-"/>
    <m/>
    <m/>
    <s v="-"/>
    <m/>
    <m/>
    <s v="-"/>
    <m/>
    <m/>
    <n v="5358.83"/>
    <n v="5358.83"/>
    <n v="5358.83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CAF"/>
    <s v="_"/>
    <x v="15"/>
    <s v="SRH       CAF       0PARS"/>
    <s v="_"/>
    <x v="27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44800"/>
    <s v="AUTRES SUBVENTIONS"/>
    <x v="13"/>
    <m/>
    <m/>
    <s v="-"/>
    <m/>
    <m/>
    <s v="-"/>
    <m/>
    <m/>
    <s v="-"/>
    <m/>
    <m/>
    <s v="-"/>
    <m/>
    <m/>
    <s v="-"/>
    <m/>
    <m/>
    <s v="-"/>
    <m/>
    <m/>
    <s v="-"/>
    <m/>
    <m/>
    <n v="58350"/>
    <n v="46776.4"/>
    <n v="46776.4"/>
    <n v="0"/>
    <n v="-11573.6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COMMEN"/>
    <s v="_"/>
    <x v="16"/>
    <s v="SRH       COMMEN    0COMMEN"/>
    <s v="_"/>
    <x v="28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230"/>
    <s v="REST.AUTRES TIERS"/>
    <x v="14"/>
    <m/>
    <m/>
    <s v="-"/>
    <m/>
    <m/>
    <s v="-"/>
    <m/>
    <m/>
    <s v="-"/>
    <m/>
    <m/>
    <s v="-"/>
    <m/>
    <m/>
    <s v="-"/>
    <m/>
    <m/>
    <s v="-"/>
    <m/>
    <m/>
    <s v="-"/>
    <m/>
    <m/>
    <n v="400"/>
    <n v="925"/>
    <n v="925"/>
    <n v="0"/>
    <n v="525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ELEVES"/>
    <s v="_"/>
    <x v="17"/>
    <s v="SRH       ELEVES    0FORFAIT"/>
    <s v="_"/>
    <x v="29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210"/>
    <s v="REST.ELEVES FORFAIT"/>
    <x v="15"/>
    <m/>
    <m/>
    <s v="-"/>
    <m/>
    <m/>
    <s v="-"/>
    <m/>
    <m/>
    <s v="-"/>
    <m/>
    <m/>
    <s v="-"/>
    <m/>
    <m/>
    <s v="-"/>
    <m/>
    <m/>
    <s v="-"/>
    <m/>
    <m/>
    <s v="-"/>
    <m/>
    <m/>
    <n v="147309.9"/>
    <n v="147309.9"/>
    <n v="147309.9"/>
    <n v="0"/>
    <n v="0"/>
    <n v="0"/>
    <n v="0"/>
    <n v="0"/>
    <n v="0"/>
    <n v="0"/>
    <n v="0"/>
    <n v="0"/>
    <n v="0"/>
  </r>
  <r>
    <s v="P03427"/>
    <s v="ETS"/>
    <s v="Etablissement"/>
    <x v="0"/>
    <s v="FONC"/>
    <s v="FONCTIONNEMENT"/>
    <x v="0"/>
    <s v="SS"/>
    <s v="SERVICES SPECIAUX"/>
    <x v="1"/>
    <s v="SRH"/>
    <s v="RESTAU ET HEBERG"/>
    <x v="3"/>
    <s v="SRH       ELEVES"/>
    <s v="_"/>
    <x v="17"/>
    <s v="SRH       ELEVES    0TICKET"/>
    <s v="_"/>
    <x v="30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706220"/>
    <s v="REST.ELEVES H.FORF"/>
    <x v="16"/>
    <m/>
    <m/>
    <s v="-"/>
    <m/>
    <m/>
    <s v="-"/>
    <m/>
    <m/>
    <s v="-"/>
    <m/>
    <m/>
    <s v="-"/>
    <m/>
    <m/>
    <s v="-"/>
    <m/>
    <m/>
    <s v="-"/>
    <m/>
    <m/>
    <s v="-"/>
    <m/>
    <m/>
    <n v="1439.75"/>
    <n v="914.75"/>
    <n v="914.75"/>
    <n v="0"/>
    <n v="-525"/>
    <n v="0"/>
    <n v="0"/>
    <n v="0"/>
    <n v="0"/>
    <n v="0"/>
    <n v="0"/>
    <n v="0"/>
    <n v="0"/>
  </r>
  <r>
    <s v="P03427"/>
    <s v="ETS"/>
    <s v="Etablissement"/>
    <x v="0"/>
    <s v="INVEST"/>
    <s v="INVESTISSEMENT"/>
    <x v="1"/>
    <s v="OPECAP"/>
    <s v="OPE-CAP"/>
    <x v="2"/>
    <s v="OPC"/>
    <s v="OPERATIONS EN CAP"/>
    <x v="4"/>
    <s v="OPC       EQUIPEM"/>
    <s v="_"/>
    <x v="18"/>
    <s v="OPC       EQUIPEM   2SPEE"/>
    <s v="_"/>
    <x v="31"/>
    <m/>
    <m/>
    <s v="-"/>
    <m/>
    <m/>
    <s v="-"/>
    <m/>
    <m/>
    <s v="-"/>
    <m/>
    <m/>
    <s v="-"/>
    <s v="REC"/>
    <s v="Total Recettes"/>
    <s v="REC - Total Recettes"/>
    <s v="RECETTES"/>
    <s v="Recettes"/>
    <s v="RECETTES - Recettes"/>
    <s v="131300"/>
    <s v="FIN.NON.ACTIF.DEP"/>
    <x v="17"/>
    <m/>
    <m/>
    <s v="-"/>
    <m/>
    <m/>
    <s v="-"/>
    <m/>
    <m/>
    <s v="-"/>
    <m/>
    <m/>
    <s v="-"/>
    <m/>
    <m/>
    <s v="-"/>
    <m/>
    <m/>
    <s v="-"/>
    <m/>
    <m/>
    <s v="-"/>
    <m/>
    <m/>
    <n v="1000"/>
    <n v="0"/>
    <n v="0"/>
    <n v="0"/>
    <n v="-1000"/>
    <n v="0"/>
    <n v="0"/>
    <n v="0"/>
    <n v="0"/>
    <n v="0"/>
    <n v="0"/>
    <n v="0"/>
    <n v="0"/>
  </r>
  <r>
    <m/>
    <m/>
    <m/>
    <x v="1"/>
    <m/>
    <m/>
    <x v="2"/>
    <m/>
    <m/>
    <x v="3"/>
    <m/>
    <m/>
    <x v="5"/>
    <m/>
    <m/>
    <x v="19"/>
    <m/>
    <m/>
    <x v="32"/>
    <m/>
    <m/>
    <m/>
    <m/>
    <m/>
    <m/>
    <m/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2" cacheId="117" applyNumberFormats="0" applyBorderFormats="0" applyFontFormats="0" applyPatternFormats="0" applyAlignmentFormats="0" applyWidthHeightFormats="1" dataCaption="Valeurs" showMissing="0" updatedVersion="6" minRefreshableVersion="3" useAutoFormatting="1" itemPrintTitles="1" createdVersion="5" indent="0" showHeaders="0" outline="1" outlineData="1" multipleFieldFilters="0">
  <location ref="B5:H100" firstHeaderRow="0" firstDataRow="1" firstDataCol="2"/>
  <pivotFields count="76"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compact="0" showAll="0"/>
    <pivotField showAll="0"/>
    <pivotField axis="axisRow" showAll="0">
      <items count="5">
        <item m="1" x="3"/>
        <item x="2"/>
        <item x="0"/>
        <item x="1"/>
        <item t="default"/>
      </items>
    </pivotField>
    <pivotField showAll="0"/>
    <pivotField showAll="0"/>
    <pivotField axis="axisRow" showAll="0">
      <items count="6">
        <item m="1" x="4"/>
        <item x="3"/>
        <item x="0"/>
        <item x="1"/>
        <item x="2"/>
        <item t="default"/>
      </items>
    </pivotField>
    <pivotField showAll="0"/>
    <pivotField showAll="0"/>
    <pivotField axis="axisRow" showAll="0">
      <items count="9">
        <item x="5"/>
        <item x="0"/>
        <item x="1"/>
        <item x="2"/>
        <item m="1" x="6"/>
        <item m="1" x="7"/>
        <item x="3"/>
        <item x="4"/>
        <item t="default"/>
      </items>
    </pivotField>
    <pivotField showAll="0"/>
    <pivotField showAll="0"/>
    <pivotField axis="axisRow" showAll="0">
      <items count="80">
        <item x="19"/>
        <item m="1" x="40"/>
        <item m="1" x="60"/>
        <item m="1" x="59"/>
        <item m="1" x="42"/>
        <item m="1" x="25"/>
        <item m="1" x="53"/>
        <item m="1" x="29"/>
        <item m="1" x="24"/>
        <item m="1" x="73"/>
        <item m="1" x="54"/>
        <item m="1" x="58"/>
        <item m="1" x="20"/>
        <item m="1" x="48"/>
        <item m="1" x="22"/>
        <item m="1" x="61"/>
        <item m="1" x="23"/>
        <item m="1" x="26"/>
        <item m="1" x="30"/>
        <item m="1" x="31"/>
        <item m="1" x="32"/>
        <item m="1" x="71"/>
        <item m="1" x="56"/>
        <item m="1" x="33"/>
        <item m="1" x="41"/>
        <item m="1" x="46"/>
        <item m="1" x="57"/>
        <item m="1" x="21"/>
        <item m="1" x="74"/>
        <item m="1" x="37"/>
        <item m="1" x="44"/>
        <item m="1" x="45"/>
        <item m="1" x="38"/>
        <item m="1" x="51"/>
        <item m="1" x="62"/>
        <item m="1" x="66"/>
        <item m="1" x="67"/>
        <item m="1" x="75"/>
        <item m="1" x="69"/>
        <item x="11"/>
        <item m="1" x="49"/>
        <item m="1" x="47"/>
        <item m="1" x="68"/>
        <item x="14"/>
        <item m="1" x="70"/>
        <item m="1" x="36"/>
        <item m="1" x="78"/>
        <item m="1" x="34"/>
        <item m="1" x="39"/>
        <item m="1" x="64"/>
        <item m="1" x="27"/>
        <item m="1" x="63"/>
        <item m="1" x="72"/>
        <item m="1" x="35"/>
        <item m="1" x="55"/>
        <item m="1" x="28"/>
        <item m="1" x="50"/>
        <item m="1" x="65"/>
        <item m="1" x="76"/>
        <item m="1" x="52"/>
        <item m="1" x="77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5"/>
        <item x="16"/>
        <item x="17"/>
        <item x="18"/>
        <item t="default"/>
      </items>
    </pivotField>
    <pivotField showAll="0"/>
    <pivotField showAll="0"/>
    <pivotField axis="axisRow" compact="0" showAll="0">
      <items count="220">
        <item sd="0" x="32"/>
        <item sd="0" m="1" x="121"/>
        <item sd="0" m="1" x="185"/>
        <item sd="0" m="1" x="149"/>
        <item sd="0" m="1" x="67"/>
        <item sd="0" m="1" x="142"/>
        <item sd="0" m="1" x="143"/>
        <item sd="0" m="1" x="186"/>
        <item sd="0" m="1" x="214"/>
        <item sd="0" m="1" x="104"/>
        <item sd="0" m="1" x="125"/>
        <item sd="0" m="1" x="144"/>
        <item sd="0" m="1" x="150"/>
        <item sd="0" m="1" x="177"/>
        <item sd="0" m="1" x="59"/>
        <item sd="0" m="1" x="89"/>
        <item sd="0" m="1" x="151"/>
        <item sd="0" m="1" x="128"/>
        <item sd="0" m="1" x="204"/>
        <item sd="0" m="1" x="179"/>
        <item sd="0" m="1" x="132"/>
        <item sd="0" m="1" x="206"/>
        <item sd="0" m="1" x="41"/>
        <item sd="0" m="1" x="42"/>
        <item sd="0" m="1" x="135"/>
        <item sd="0" m="1" x="198"/>
        <item sd="0" m="1" x="34"/>
        <item sd="0" m="1" x="43"/>
        <item sd="0" m="1" x="194"/>
        <item sd="0" m="1" x="199"/>
        <item sd="0" m="1" x="44"/>
        <item sd="0" m="1" x="195"/>
        <item sd="0" m="1" x="50"/>
        <item sd="0" m="1" x="88"/>
        <item sd="0" m="1" x="60"/>
        <item sd="0" m="1" x="80"/>
        <item sd="0" m="1" x="162"/>
        <item sd="0" m="1" x="81"/>
        <item sd="0" m="1" x="101"/>
        <item sd="0" m="1" x="82"/>
        <item sd="0" m="1" x="53"/>
        <item sd="0" m="1" x="35"/>
        <item sd="0" m="1" x="79"/>
        <item sd="0" m="1" x="75"/>
        <item sd="0" m="1" x="63"/>
        <item sd="0" m="1" x="54"/>
        <item sd="0" m="1" x="84"/>
        <item sd="0" m="1" x="163"/>
        <item sd="0" m="1" x="115"/>
        <item sd="0" m="1" x="85"/>
        <item sd="0" m="1" x="36"/>
        <item sd="0" m="1" x="182"/>
        <item sd="0" m="1" x="171"/>
        <item sd="0" m="1" x="61"/>
        <item sd="0" m="1" x="40"/>
        <item sd="0" m="1" x="107"/>
        <item sd="0" m="1" x="164"/>
        <item sd="0" m="1" x="86"/>
        <item sd="0" m="1" x="137"/>
        <item sd="0" m="1" x="56"/>
        <item sd="0" m="1" x="37"/>
        <item sd="0" m="1" x="183"/>
        <item sd="0" m="1" x="170"/>
        <item sd="0" m="1" x="108"/>
        <item sd="0" m="1" x="165"/>
        <item sd="0" m="1" x="127"/>
        <item sd="0" m="1" x="57"/>
        <item sd="0" m="1" x="118"/>
        <item sd="0" m="1" x="139"/>
        <item sd="0" m="1" x="38"/>
        <item sd="0" m="1" x="196"/>
        <item sd="0" m="1" x="87"/>
        <item sd="0" m="1" x="129"/>
        <item sd="0" m="1" x="152"/>
        <item sd="0" m="1" x="102"/>
        <item sd="0" m="1" x="91"/>
        <item sd="0" m="1" x="120"/>
        <item sd="0" m="1" x="166"/>
        <item sd="0" m="1" x="103"/>
        <item sd="0" m="1" x="192"/>
        <item sd="0" m="1" x="184"/>
        <item sd="0" m="1" x="180"/>
        <item sd="0" m="1" x="208"/>
        <item sd="0" m="1" x="51"/>
        <item sd="0" m="1" x="99"/>
        <item sd="0" m="1" x="76"/>
        <item sd="0" m="1" x="77"/>
        <item sd="0" m="1" x="205"/>
        <item sd="0" m="1" x="209"/>
        <item sd="0" m="1" x="39"/>
        <item sd="0" m="1" x="78"/>
        <item sd="0" m="1" x="173"/>
        <item sd="0" m="1" x="210"/>
        <item sd="0" m="1" x="211"/>
        <item sd="0" m="1" x="169"/>
        <item sd="0" m="1" x="68"/>
        <item sd="0" m="1" x="69"/>
        <item sd="0" m="1" x="70"/>
        <item sd="0" m="1" x="71"/>
        <item sd="0" m="1" x="72"/>
        <item sd="0" m="1" x="73"/>
        <item sd="0" m="1" x="160"/>
        <item sd="0" m="1" x="215"/>
        <item sd="0" m="1" x="130"/>
        <item sd="0" m="1" x="167"/>
        <item sd="0" m="1" x="95"/>
        <item sd="0" m="1" x="83"/>
        <item sd="0" m="1" x="105"/>
        <item sd="0" m="1" x="153"/>
        <item sd="0" m="1" x="106"/>
        <item sd="0" m="1" x="154"/>
        <item sd="0" m="1" x="116"/>
        <item sd="0" m="1" x="155"/>
        <item sd="0" m="1" x="159"/>
        <item sd="0" m="1" x="100"/>
        <item sd="0" m="1" x="96"/>
        <item sd="0" m="1" x="123"/>
        <item sd="0" m="1" x="141"/>
        <item sd="0" m="1" x="124"/>
        <item sd="0" m="1" x="148"/>
        <item sd="0" m="1" x="174"/>
        <item sd="0" m="1" x="197"/>
        <item sd="0" m="1" x="114"/>
        <item sd="0" m="1" x="216"/>
        <item sd="0" m="1" x="181"/>
        <item sd="0" m="1" x="65"/>
        <item sd="0" m="1" x="92"/>
        <item sd="0" m="1" x="66"/>
        <item sd="0" m="1" x="113"/>
        <item sd="0" m="1" x="203"/>
        <item sd="0" m="1" x="112"/>
        <item sd="0" m="1" x="97"/>
        <item sd="0" m="1" x="94"/>
        <item sd="0" m="1" x="193"/>
        <item sd="0" m="1" x="90"/>
        <item sd="0" m="1" x="93"/>
        <item sd="0" m="1" x="187"/>
        <item sd="0" m="1" x="201"/>
        <item sd="0" m="1" x="175"/>
        <item sd="0" m="1" x="47"/>
        <item sd="0" m="1" x="146"/>
        <item sd="0" m="1" x="176"/>
        <item sd="0" m="1" x="48"/>
        <item sd="0" m="1" x="147"/>
        <item sd="0" m="1" x="213"/>
        <item sd="0" m="1" x="178"/>
        <item sd="0" m="1" x="49"/>
        <item sd="0" m="1" x="168"/>
        <item sd="0" m="1" x="45"/>
        <item sd="0" m="1" x="136"/>
        <item sd="0" m="1" x="55"/>
        <item sd="0" m="1" x="126"/>
        <item sd="0" m="1" x="157"/>
        <item sd="0" m="1" x="133"/>
        <item sd="0" m="1" x="188"/>
        <item sd="0" m="1" x="217"/>
        <item sd="0" m="1" x="189"/>
        <item sd="0" m="1" x="117"/>
        <item sd="0" m="1" x="138"/>
        <item sd="0" m="1" x="134"/>
        <item sd="0" m="1" x="190"/>
        <item sd="0" m="1" x="119"/>
        <item sd="0" m="1" x="140"/>
        <item sd="0" m="1" x="58"/>
        <item sd="0" m="1" x="158"/>
        <item sd="0" m="1" x="156"/>
        <item sd="0" m="1" x="191"/>
        <item sd="0" m="1" x="218"/>
        <item sd="0" m="1" x="131"/>
        <item sd="0" m="1" x="161"/>
        <item sd="0" m="1" x="74"/>
        <item sd="0" m="1" x="52"/>
        <item sd="0" m="1" x="98"/>
        <item sd="0" m="1" x="64"/>
        <item sd="0" m="1" x="62"/>
        <item sd="0" m="1" x="46"/>
        <item sd="0" m="1" x="145"/>
        <item sd="0" m="1" x="212"/>
        <item sd="0" m="1" x="109"/>
        <item sd="0" m="1" x="202"/>
        <item sd="0" m="1" x="110"/>
        <item sd="0" m="1" x="200"/>
        <item sd="0" m="1" x="33"/>
        <item sd="0" m="1" x="111"/>
        <item sd="0" x="26"/>
        <item sd="0" m="1" x="122"/>
        <item sd="0" m="1" x="207"/>
        <item sd="0" m="1" x="1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2">
        <item m="1" x="41"/>
        <item x="18"/>
        <item sd="0" m="1" x="20"/>
        <item sd="0" m="1" x="39"/>
        <item sd="0" m="1" x="28"/>
        <item sd="0" m="1" x="36"/>
        <item sd="0" m="1" x="45"/>
        <item sd="0" m="1" x="38"/>
        <item sd="0" m="1" x="22"/>
        <item sd="0" m="1" x="21"/>
        <item sd="0" m="1" x="52"/>
        <item sd="0" m="1" x="49"/>
        <item sd="0" m="1" x="26"/>
        <item sd="0" m="1" x="54"/>
        <item sd="0" m="1" x="56"/>
        <item sd="0" m="1" x="46"/>
        <item sd="0" m="1" x="55"/>
        <item sd="0" m="1" x="27"/>
        <item sd="0" m="1" x="51"/>
        <item sd="0" m="1" x="48"/>
        <item sd="0" m="1" x="24"/>
        <item sd="0" m="1" x="58"/>
        <item sd="0" m="1" x="30"/>
        <item sd="0" m="1" x="50"/>
        <item sd="0" m="1" x="25"/>
        <item sd="0" m="1" x="53"/>
        <item sd="0" m="1" x="43"/>
        <item sd="0" m="1" x="34"/>
        <item sd="0" m="1" x="42"/>
        <item sd="0" m="1" x="60"/>
        <item sd="0" m="1" x="23"/>
        <item m="1" x="40"/>
        <item m="1" x="31"/>
        <item m="1" x="19"/>
        <item m="1" x="59"/>
        <item m="1" x="57"/>
        <item x="3"/>
        <item m="1" x="33"/>
        <item x="11"/>
        <item m="1" x="37"/>
        <item x="7"/>
        <item m="1" x="44"/>
        <item x="6"/>
        <item m="1" x="32"/>
        <item m="1" x="47"/>
        <item x="12"/>
        <item m="1" x="29"/>
        <item x="13"/>
        <item m="1" x="35"/>
        <item x="0"/>
        <item x="1"/>
        <item x="2"/>
        <item x="4"/>
        <item x="5"/>
        <item x="8"/>
        <item x="9"/>
        <item x="10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7">
    <field x="3"/>
    <field x="6"/>
    <field x="9"/>
    <field x="12"/>
    <field x="15"/>
    <field x="18"/>
    <field x="39"/>
  </rowFields>
  <rowItems count="95">
    <i>
      <x v="2"/>
    </i>
    <i r="1">
      <x v="2"/>
    </i>
    <i r="2">
      <x v="2"/>
    </i>
    <i r="3">
      <x v="1"/>
    </i>
    <i r="4">
      <x v="62"/>
    </i>
    <i r="5">
      <x v="188"/>
    </i>
    <i r="6">
      <x v="49"/>
    </i>
    <i r="4">
      <x v="63"/>
    </i>
    <i r="5">
      <x v="189"/>
    </i>
    <i r="6">
      <x v="50"/>
    </i>
    <i r="4">
      <x v="64"/>
    </i>
    <i r="5">
      <x v="190"/>
    </i>
    <i r="6">
      <x v="51"/>
    </i>
    <i r="4">
      <x v="65"/>
    </i>
    <i r="5">
      <x v="191"/>
    </i>
    <i r="6">
      <x v="51"/>
    </i>
    <i r="4">
      <x v="66"/>
    </i>
    <i r="5">
      <x v="192"/>
    </i>
    <i r="6">
      <x v="36"/>
    </i>
    <i r="5">
      <x v="193"/>
    </i>
    <i r="6">
      <x v="52"/>
    </i>
    <i r="6">
      <x v="53"/>
    </i>
    <i r="4">
      <x v="67"/>
    </i>
    <i r="5">
      <x v="194"/>
    </i>
    <i r="6">
      <x v="42"/>
    </i>
    <i r="5">
      <x v="195"/>
    </i>
    <i r="6">
      <x v="49"/>
    </i>
    <i r="5">
      <x v="196"/>
    </i>
    <i r="6">
      <x v="51"/>
    </i>
    <i r="5">
      <x v="197"/>
    </i>
    <i r="6">
      <x v="51"/>
    </i>
    <i r="5">
      <x v="198"/>
    </i>
    <i r="6">
      <x v="51"/>
    </i>
    <i r="4">
      <x v="68"/>
    </i>
    <i r="5">
      <x v="199"/>
    </i>
    <i r="6">
      <x v="40"/>
    </i>
    <i r="4">
      <x v="69"/>
    </i>
    <i r="5">
      <x v="200"/>
    </i>
    <i r="6">
      <x v="51"/>
    </i>
    <i r="4">
      <x v="70"/>
    </i>
    <i r="5">
      <x v="201"/>
    </i>
    <i r="6">
      <x v="54"/>
    </i>
    <i r="5">
      <x v="202"/>
    </i>
    <i r="6">
      <x v="40"/>
    </i>
    <i r="3">
      <x v="2"/>
    </i>
    <i r="4">
      <x v="71"/>
    </i>
    <i r="5">
      <x v="203"/>
    </i>
    <i r="6">
      <x v="55"/>
    </i>
    <i r="4">
      <x v="72"/>
    </i>
    <i r="5">
      <x v="204"/>
    </i>
    <i r="6">
      <x v="56"/>
    </i>
    <i r="5">
      <x v="205"/>
    </i>
    <i r="6">
      <x v="56"/>
    </i>
    <i r="5">
      <x v="206"/>
    </i>
    <i r="6">
      <x v="56"/>
    </i>
    <i r="5">
      <x v="207"/>
    </i>
    <i r="6">
      <x v="56"/>
    </i>
    <i r="3">
      <x v="3"/>
    </i>
    <i r="4">
      <x v="39"/>
    </i>
    <i r="5">
      <x v="208"/>
    </i>
    <i r="6">
      <x v="51"/>
    </i>
    <i r="5">
      <x v="209"/>
    </i>
    <i r="6">
      <x v="51"/>
    </i>
    <i r="4">
      <x v="43"/>
    </i>
    <i r="5">
      <x v="184"/>
    </i>
    <i r="4">
      <x v="73"/>
    </i>
    <i r="5">
      <x v="210"/>
    </i>
    <i r="6">
      <x v="50"/>
    </i>
    <i r="4">
      <x v="74"/>
    </i>
    <i r="5">
      <x v="211"/>
    </i>
    <i r="6">
      <x v="36"/>
    </i>
    <i r="5">
      <x v="212"/>
    </i>
    <i r="6">
      <x v="53"/>
    </i>
    <i r="5">
      <x v="213"/>
    </i>
    <i r="6">
      <x v="38"/>
    </i>
    <i r="2">
      <x v="3"/>
    </i>
    <i r="3">
      <x v="6"/>
    </i>
    <i r="4">
      <x v="75"/>
    </i>
    <i r="5">
      <x v="214"/>
    </i>
    <i r="6">
      <x v="47"/>
    </i>
    <i r="4">
      <x v="76"/>
    </i>
    <i r="5">
      <x v="215"/>
    </i>
    <i r="6">
      <x v="57"/>
    </i>
    <i r="4">
      <x v="77"/>
    </i>
    <i r="5">
      <x v="216"/>
    </i>
    <i r="6">
      <x v="58"/>
    </i>
    <i r="5">
      <x v="217"/>
    </i>
    <i r="6">
      <x v="59"/>
    </i>
    <i r="1">
      <x v="3"/>
    </i>
    <i r="2">
      <x v="4"/>
    </i>
    <i r="3">
      <x v="7"/>
    </i>
    <i r="4">
      <x v="78"/>
    </i>
    <i r="5">
      <x v="218"/>
    </i>
    <i r="6">
      <x v="6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Montant colonne 1" fld="63" baseField="3" baseItem="0" numFmtId="164"/>
    <dataField name="Somme de Montant colonne 2" fld="64" baseField="23" baseItem="0" numFmtId="4"/>
    <dataField name="Somme de Montant colonne 3" fld="65" baseField="23" baseItem="0" numFmtId="4"/>
    <dataField name="Somme de Montant colonne 4" fld="66" baseField="23" baseItem="0" numFmtId="4"/>
    <dataField name="Somme de Montant colonne 5" fld="67" baseField="23" baseItem="0" numFmtId="4"/>
  </dataFields>
  <pivotTableStyleInfo name="EBLA" showRowHeaders="1" showColHeaders="1" showRowStripes="0" showColStripes="0" showLastColumn="1"/>
  <filters count="1">
    <filter fld="3" type="captionNotEqual" evalOrder="-1" id="4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"/>
  <sheetViews>
    <sheetView showGridLines="0" tabSelected="1" zoomScaleNormal="100" workbookViewId="0">
      <selection activeCell="B1" sqref="B1"/>
    </sheetView>
  </sheetViews>
  <sheetFormatPr baseColWidth="10" defaultRowHeight="15" x14ac:dyDescent="0.25"/>
  <cols>
    <col min="1" max="1" width="3.28515625" customWidth="1" collapsed="1"/>
    <col min="2" max="2" width="41.7109375" bestFit="1" customWidth="1" collapsed="1"/>
    <col min="3" max="3" width="31" bestFit="1" customWidth="1" collapsed="1"/>
    <col min="4" max="8" width="27.85546875" bestFit="1" customWidth="1" collapsed="1"/>
    <col min="9" max="16" width="16.7109375" customWidth="1" collapsed="1"/>
  </cols>
  <sheetData>
    <row r="1" spans="2:16" ht="28.5" x14ac:dyDescent="0.45">
      <c r="C1" s="11" t="s">
        <v>98</v>
      </c>
      <c r="D1" s="11"/>
      <c r="E1" s="11"/>
      <c r="F1" s="11"/>
    </row>
    <row r="2" spans="2:16" x14ac:dyDescent="0.25">
      <c r="B2" s="2" t="str">
        <f>IF(Donnees!H1&lt;&gt;"","Etablissement :","")</f>
        <v>Etablissement :</v>
      </c>
      <c r="C2" s="1" t="str">
        <f>CONCATENATE(Donnees!H1," ",Donnees!I1)</f>
        <v>P03427 9710040S</v>
      </c>
      <c r="G2" s="5" t="str">
        <f>CONCATENATE("Edité au : ",Donnees!F1)</f>
        <v>Edité au : 30/03/2026</v>
      </c>
      <c r="P2" s="1"/>
    </row>
    <row r="3" spans="2:16" ht="15.75" thickBot="1" x14ac:dyDescent="0.3"/>
    <row r="4" spans="2:16" ht="43.5" customHeight="1" thickBot="1" x14ac:dyDescent="0.3">
      <c r="B4" s="3" t="s">
        <v>4</v>
      </c>
      <c r="C4" s="4" t="s">
        <v>3</v>
      </c>
      <c r="D4" s="4" t="str">
        <f>CONCATENATE(IF(ISBLANK(Donnees!CD3),"",Donnees!CD3),CHAR(10),IF(ISBLANK(Donnees!CQ3),"",Donnees!CQ3))</f>
        <v xml:space="preserve">Budget
</v>
      </c>
      <c r="E4" s="4" t="str">
        <f>CONCATENATE(IF(ISBLANK(Donnees!CE3),"",Donnees!CE3),CHAR(10),IF(ISBLANK(Donnees!CR3),"",Donnees!CR3))</f>
        <v xml:space="preserve">Engagé
</v>
      </c>
      <c r="F4" s="4" t="str">
        <f>CONCATENATE(IF(ISBLANK(Donnees!CF3),"",Donnees!CF3),CHAR(10),IF(ISBLANK(Donnees!CS3),"",Donnees!CS3))</f>
        <v xml:space="preserve">Réalisé comptable
</v>
      </c>
      <c r="G4" s="4" t="str">
        <f>CONCATENATE(IF(ISBLANK(Donnees!CG3),"",Donnees!CG3),CHAR(10),IF(ISBLANK(Donnees!CT3),"",Donnees!CT3))</f>
        <v xml:space="preserve">En cours
</v>
      </c>
      <c r="H4" s="4" t="str">
        <f>CONCATENATE(IF(ISBLANK(Donnees!CH3),"",Donnees!CH3),CHAR(10),IF(ISBLANK(Donnees!CU3),"",Donnees!CU3))</f>
        <v xml:space="preserve">+/- value
</v>
      </c>
    </row>
    <row r="5" spans="2:16" hidden="1" x14ac:dyDescent="0.25"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</row>
    <row r="6" spans="2:16" x14ac:dyDescent="0.25">
      <c r="B6" s="9" t="s">
        <v>101</v>
      </c>
      <c r="D6" s="7">
        <v>904115.11</v>
      </c>
      <c r="E6" s="8">
        <v>793266.68000000017</v>
      </c>
      <c r="F6" s="8">
        <v>793266.68000000017</v>
      </c>
      <c r="G6" s="8">
        <v>0</v>
      </c>
      <c r="H6" s="8">
        <v>-110848.42999999998</v>
      </c>
    </row>
    <row r="7" spans="2:16" x14ac:dyDescent="0.25">
      <c r="B7" s="12" t="s">
        <v>104</v>
      </c>
      <c r="D7" s="7">
        <v>903115.11</v>
      </c>
      <c r="E7" s="8">
        <v>793266.68000000017</v>
      </c>
      <c r="F7" s="8">
        <v>793266.68000000017</v>
      </c>
      <c r="G7" s="8">
        <v>0</v>
      </c>
      <c r="H7" s="8">
        <v>-109848.42999999998</v>
      </c>
    </row>
    <row r="8" spans="2:16" x14ac:dyDescent="0.25">
      <c r="B8" s="13" t="s">
        <v>107</v>
      </c>
      <c r="D8" s="7">
        <v>695615.46</v>
      </c>
      <c r="E8" s="8">
        <v>597340.63000000012</v>
      </c>
      <c r="F8" s="8">
        <v>597340.63000000012</v>
      </c>
      <c r="G8" s="8">
        <v>0</v>
      </c>
      <c r="H8" s="8">
        <v>-98274.829999999973</v>
      </c>
    </row>
    <row r="9" spans="2:16" x14ac:dyDescent="0.25">
      <c r="B9" s="14" t="s">
        <v>110</v>
      </c>
      <c r="D9" s="7">
        <v>141313.28</v>
      </c>
      <c r="E9" s="8">
        <v>102782.52</v>
      </c>
      <c r="F9" s="8">
        <v>102782.52</v>
      </c>
      <c r="G9" s="8">
        <v>0</v>
      </c>
      <c r="H9" s="8">
        <v>-38530.76</v>
      </c>
    </row>
    <row r="10" spans="2:16" x14ac:dyDescent="0.25">
      <c r="B10" s="15" t="s">
        <v>113</v>
      </c>
      <c r="D10" s="7">
        <v>35510.14</v>
      </c>
      <c r="E10" s="8">
        <v>20088.63</v>
      </c>
      <c r="F10" s="8">
        <v>20088.63</v>
      </c>
      <c r="G10" s="8">
        <v>0</v>
      </c>
      <c r="H10" s="8">
        <v>-15421.51</v>
      </c>
    </row>
    <row r="11" spans="2:16" x14ac:dyDescent="0.25">
      <c r="B11" s="16" t="s">
        <v>115</v>
      </c>
      <c r="D11" s="7">
        <v>35510.14</v>
      </c>
      <c r="E11" s="8">
        <v>20088.63</v>
      </c>
      <c r="F11" s="8">
        <v>20088.63</v>
      </c>
      <c r="G11" s="8">
        <v>0</v>
      </c>
      <c r="H11" s="8">
        <v>-15421.51</v>
      </c>
    </row>
    <row r="12" spans="2:16" x14ac:dyDescent="0.25">
      <c r="C12" s="9" t="s">
        <v>125</v>
      </c>
      <c r="D12" s="7">
        <v>35510.14</v>
      </c>
      <c r="E12" s="8">
        <v>20088.63</v>
      </c>
      <c r="F12" s="8">
        <v>20088.63</v>
      </c>
      <c r="G12" s="8">
        <v>0</v>
      </c>
      <c r="H12" s="8">
        <v>-15421.51</v>
      </c>
    </row>
    <row r="13" spans="2:16" x14ac:dyDescent="0.25">
      <c r="B13" s="15" t="s">
        <v>136</v>
      </c>
      <c r="D13" s="7">
        <v>24000</v>
      </c>
      <c r="E13" s="8">
        <v>24000</v>
      </c>
      <c r="F13" s="8">
        <v>24000</v>
      </c>
      <c r="G13" s="8">
        <v>0</v>
      </c>
      <c r="H13" s="8">
        <v>0</v>
      </c>
    </row>
    <row r="14" spans="2:16" x14ac:dyDescent="0.25">
      <c r="B14" s="16" t="s">
        <v>138</v>
      </c>
      <c r="D14" s="7">
        <v>24000</v>
      </c>
      <c r="E14" s="8">
        <v>24000</v>
      </c>
      <c r="F14" s="8">
        <v>24000</v>
      </c>
      <c r="G14" s="8">
        <v>0</v>
      </c>
      <c r="H14" s="8">
        <v>0</v>
      </c>
    </row>
    <row r="15" spans="2:16" x14ac:dyDescent="0.25">
      <c r="C15" s="9" t="s">
        <v>141</v>
      </c>
      <c r="D15" s="7">
        <v>24000</v>
      </c>
      <c r="E15" s="8">
        <v>24000</v>
      </c>
      <c r="F15" s="8">
        <v>24000</v>
      </c>
      <c r="G15" s="8">
        <v>0</v>
      </c>
      <c r="H15" s="8">
        <v>0</v>
      </c>
    </row>
    <row r="16" spans="2:16" x14ac:dyDescent="0.25">
      <c r="B16" s="15" t="s">
        <v>143</v>
      </c>
      <c r="D16" s="7">
        <v>5000</v>
      </c>
      <c r="E16" s="8">
        <v>4708.2700000000004</v>
      </c>
      <c r="F16" s="8">
        <v>4708.2700000000004</v>
      </c>
      <c r="G16" s="8">
        <v>0</v>
      </c>
      <c r="H16" s="8">
        <v>-291.73</v>
      </c>
    </row>
    <row r="17" spans="2:8" x14ac:dyDescent="0.25">
      <c r="B17" s="16" t="s">
        <v>145</v>
      </c>
      <c r="D17" s="7">
        <v>5000</v>
      </c>
      <c r="E17" s="8">
        <v>4708.2700000000004</v>
      </c>
      <c r="F17" s="8">
        <v>4708.2700000000004</v>
      </c>
      <c r="G17" s="8">
        <v>0</v>
      </c>
      <c r="H17" s="8">
        <v>-291.73</v>
      </c>
    </row>
    <row r="18" spans="2:8" x14ac:dyDescent="0.25">
      <c r="C18" s="9" t="s">
        <v>148</v>
      </c>
      <c r="D18" s="7">
        <v>5000</v>
      </c>
      <c r="E18" s="8">
        <v>4708.2700000000004</v>
      </c>
      <c r="F18" s="8">
        <v>4708.2700000000004</v>
      </c>
      <c r="G18" s="8">
        <v>0</v>
      </c>
      <c r="H18" s="8">
        <v>-291.73</v>
      </c>
    </row>
    <row r="19" spans="2:8" x14ac:dyDescent="0.25">
      <c r="B19" s="15" t="s">
        <v>150</v>
      </c>
      <c r="D19" s="7">
        <v>31371.18</v>
      </c>
      <c r="E19" s="8">
        <v>28547</v>
      </c>
      <c r="F19" s="8">
        <v>28547</v>
      </c>
      <c r="G19" s="8">
        <v>0</v>
      </c>
      <c r="H19" s="8">
        <v>-2824.18</v>
      </c>
    </row>
    <row r="20" spans="2:8" x14ac:dyDescent="0.25">
      <c r="B20" s="16" t="s">
        <v>152</v>
      </c>
      <c r="D20" s="7">
        <v>31371.18</v>
      </c>
      <c r="E20" s="8">
        <v>28547</v>
      </c>
      <c r="F20" s="8">
        <v>28547</v>
      </c>
      <c r="G20" s="8">
        <v>0</v>
      </c>
      <c r="H20" s="8">
        <v>-2824.18</v>
      </c>
    </row>
    <row r="21" spans="2:8" x14ac:dyDescent="0.25">
      <c r="C21" s="9" t="s">
        <v>148</v>
      </c>
      <c r="D21" s="7">
        <v>31371.18</v>
      </c>
      <c r="E21" s="8">
        <v>28547</v>
      </c>
      <c r="F21" s="8">
        <v>28547</v>
      </c>
      <c r="G21" s="8">
        <v>0</v>
      </c>
      <c r="H21" s="8">
        <v>-2824.18</v>
      </c>
    </row>
    <row r="22" spans="2:8" x14ac:dyDescent="0.25">
      <c r="B22" s="15" t="s">
        <v>154</v>
      </c>
      <c r="D22" s="7">
        <v>2000</v>
      </c>
      <c r="E22" s="8">
        <v>2600</v>
      </c>
      <c r="F22" s="8">
        <v>2600</v>
      </c>
      <c r="G22" s="8">
        <v>0</v>
      </c>
      <c r="H22" s="8">
        <v>600</v>
      </c>
    </row>
    <row r="23" spans="2:8" x14ac:dyDescent="0.25">
      <c r="B23" s="16" t="s">
        <v>156</v>
      </c>
      <c r="D23" s="7">
        <v>1500</v>
      </c>
      <c r="E23" s="8">
        <v>2114</v>
      </c>
      <c r="F23" s="8">
        <v>2114</v>
      </c>
      <c r="G23" s="8">
        <v>0</v>
      </c>
      <c r="H23" s="8">
        <v>614</v>
      </c>
    </row>
    <row r="24" spans="2:8" x14ac:dyDescent="0.25">
      <c r="C24" s="9" t="s">
        <v>159</v>
      </c>
      <c r="D24" s="7">
        <v>1500</v>
      </c>
      <c r="E24" s="8">
        <v>2114</v>
      </c>
      <c r="F24" s="8">
        <v>2114</v>
      </c>
      <c r="G24" s="8">
        <v>0</v>
      </c>
      <c r="H24" s="8">
        <v>614</v>
      </c>
    </row>
    <row r="25" spans="2:8" x14ac:dyDescent="0.25">
      <c r="B25" s="16" t="s">
        <v>161</v>
      </c>
      <c r="D25" s="7">
        <v>500</v>
      </c>
      <c r="E25" s="8">
        <v>486</v>
      </c>
      <c r="F25" s="8">
        <v>486</v>
      </c>
      <c r="G25" s="8">
        <v>0</v>
      </c>
      <c r="H25" s="8">
        <v>-14</v>
      </c>
    </row>
    <row r="26" spans="2:8" x14ac:dyDescent="0.25">
      <c r="C26" s="9" t="s">
        <v>164</v>
      </c>
      <c r="D26" s="7">
        <v>500</v>
      </c>
      <c r="E26" s="8">
        <v>0</v>
      </c>
      <c r="F26" s="8">
        <v>0</v>
      </c>
      <c r="G26" s="8">
        <v>0</v>
      </c>
      <c r="H26" s="8">
        <v>-500</v>
      </c>
    </row>
    <row r="27" spans="2:8" x14ac:dyDescent="0.25">
      <c r="C27" s="9" t="s">
        <v>167</v>
      </c>
      <c r="D27" s="7">
        <v>0</v>
      </c>
      <c r="E27" s="8">
        <v>486</v>
      </c>
      <c r="F27" s="8">
        <v>486</v>
      </c>
      <c r="G27" s="8">
        <v>0</v>
      </c>
      <c r="H27" s="8">
        <v>486</v>
      </c>
    </row>
    <row r="28" spans="2:8" x14ac:dyDescent="0.25">
      <c r="B28" s="15" t="s">
        <v>169</v>
      </c>
      <c r="D28" s="7">
        <v>12690.479999999998</v>
      </c>
      <c r="E28" s="8">
        <v>3590.7</v>
      </c>
      <c r="F28" s="8">
        <v>3590.7</v>
      </c>
      <c r="G28" s="8">
        <v>0</v>
      </c>
      <c r="H28" s="8">
        <v>-9099.7800000000007</v>
      </c>
    </row>
    <row r="29" spans="2:8" x14ac:dyDescent="0.25">
      <c r="B29" s="16" t="s">
        <v>171</v>
      </c>
      <c r="D29" s="7">
        <v>10742.01</v>
      </c>
      <c r="E29" s="8">
        <v>3590.7</v>
      </c>
      <c r="F29" s="8">
        <v>3590.7</v>
      </c>
      <c r="G29" s="8">
        <v>0</v>
      </c>
      <c r="H29" s="8">
        <v>-7151.31</v>
      </c>
    </row>
    <row r="30" spans="2:8" x14ac:dyDescent="0.25">
      <c r="C30" s="9" t="s">
        <v>174</v>
      </c>
      <c r="D30" s="7">
        <v>10742.01</v>
      </c>
      <c r="E30" s="8">
        <v>3590.7</v>
      </c>
      <c r="F30" s="8">
        <v>3590.7</v>
      </c>
      <c r="G30" s="8">
        <v>0</v>
      </c>
      <c r="H30" s="8">
        <v>-7151.31</v>
      </c>
    </row>
    <row r="31" spans="2:8" x14ac:dyDescent="0.25">
      <c r="B31" s="16" t="s">
        <v>176</v>
      </c>
      <c r="D31" s="7">
        <v>46.31</v>
      </c>
      <c r="E31" s="8">
        <v>0</v>
      </c>
      <c r="F31" s="8">
        <v>0</v>
      </c>
      <c r="G31" s="8">
        <v>0</v>
      </c>
      <c r="H31" s="8">
        <v>-46.31</v>
      </c>
    </row>
    <row r="32" spans="2:8" x14ac:dyDescent="0.25">
      <c r="C32" s="9" t="s">
        <v>125</v>
      </c>
      <c r="D32" s="7">
        <v>46.31</v>
      </c>
      <c r="E32" s="8">
        <v>0</v>
      </c>
      <c r="F32" s="8">
        <v>0</v>
      </c>
      <c r="G32" s="8">
        <v>0</v>
      </c>
      <c r="H32" s="8">
        <v>-46.31</v>
      </c>
    </row>
    <row r="33" spans="2:8" x14ac:dyDescent="0.25">
      <c r="B33" s="16" t="s">
        <v>178</v>
      </c>
      <c r="D33" s="7">
        <v>834.05</v>
      </c>
      <c r="E33" s="8">
        <v>0</v>
      </c>
      <c r="F33" s="8">
        <v>0</v>
      </c>
      <c r="G33" s="8">
        <v>0</v>
      </c>
      <c r="H33" s="8">
        <v>-834.05</v>
      </c>
    </row>
    <row r="34" spans="2:8" x14ac:dyDescent="0.25">
      <c r="C34" s="9" t="s">
        <v>148</v>
      </c>
      <c r="D34" s="7">
        <v>834.05</v>
      </c>
      <c r="E34" s="8">
        <v>0</v>
      </c>
      <c r="F34" s="8">
        <v>0</v>
      </c>
      <c r="G34" s="8">
        <v>0</v>
      </c>
      <c r="H34" s="8">
        <v>-834.05</v>
      </c>
    </row>
    <row r="35" spans="2:8" x14ac:dyDescent="0.25">
      <c r="B35" s="16" t="s">
        <v>180</v>
      </c>
      <c r="D35" s="7">
        <v>884.98</v>
      </c>
      <c r="E35" s="8">
        <v>0</v>
      </c>
      <c r="F35" s="8">
        <v>0</v>
      </c>
      <c r="G35" s="8">
        <v>0</v>
      </c>
      <c r="H35" s="8">
        <v>-884.98</v>
      </c>
    </row>
    <row r="36" spans="2:8" x14ac:dyDescent="0.25">
      <c r="C36" s="9" t="s">
        <v>148</v>
      </c>
      <c r="D36" s="7">
        <v>884.98</v>
      </c>
      <c r="E36" s="8">
        <v>0</v>
      </c>
      <c r="F36" s="8">
        <v>0</v>
      </c>
      <c r="G36" s="8">
        <v>0</v>
      </c>
      <c r="H36" s="8">
        <v>-884.98</v>
      </c>
    </row>
    <row r="37" spans="2:8" x14ac:dyDescent="0.25">
      <c r="B37" s="16" t="s">
        <v>182</v>
      </c>
      <c r="D37" s="7">
        <v>183.13</v>
      </c>
      <c r="E37" s="8">
        <v>0</v>
      </c>
      <c r="F37" s="8">
        <v>0</v>
      </c>
      <c r="G37" s="8">
        <v>0</v>
      </c>
      <c r="H37" s="8">
        <v>-183.13</v>
      </c>
    </row>
    <row r="38" spans="2:8" x14ac:dyDescent="0.25">
      <c r="C38" s="9" t="s">
        <v>148</v>
      </c>
      <c r="D38" s="7">
        <v>183.13</v>
      </c>
      <c r="E38" s="8">
        <v>0</v>
      </c>
      <c r="F38" s="8">
        <v>0</v>
      </c>
      <c r="G38" s="8">
        <v>0</v>
      </c>
      <c r="H38" s="8">
        <v>-183.13</v>
      </c>
    </row>
    <row r="39" spans="2:8" x14ac:dyDescent="0.25">
      <c r="B39" s="15" t="s">
        <v>184</v>
      </c>
      <c r="D39" s="7">
        <v>4000</v>
      </c>
      <c r="E39" s="8">
        <v>3680.66</v>
      </c>
      <c r="F39" s="8">
        <v>3680.66</v>
      </c>
      <c r="G39" s="8">
        <v>0</v>
      </c>
      <c r="H39" s="8">
        <v>-319.33999999999997</v>
      </c>
    </row>
    <row r="40" spans="2:8" x14ac:dyDescent="0.25">
      <c r="B40" s="16" t="s">
        <v>186</v>
      </c>
      <c r="D40" s="7">
        <v>4000</v>
      </c>
      <c r="E40" s="8">
        <v>3680.66</v>
      </c>
      <c r="F40" s="8">
        <v>3680.66</v>
      </c>
      <c r="G40" s="8">
        <v>0</v>
      </c>
      <c r="H40" s="8">
        <v>-319.33999999999997</v>
      </c>
    </row>
    <row r="41" spans="2:8" x14ac:dyDescent="0.25">
      <c r="C41" s="9" t="s">
        <v>189</v>
      </c>
      <c r="D41" s="7">
        <v>4000</v>
      </c>
      <c r="E41" s="8">
        <v>3680.66</v>
      </c>
      <c r="F41" s="8">
        <v>3680.66</v>
      </c>
      <c r="G41" s="8">
        <v>0</v>
      </c>
      <c r="H41" s="8">
        <v>-319.33999999999997</v>
      </c>
    </row>
    <row r="42" spans="2:8" x14ac:dyDescent="0.25">
      <c r="B42" s="15" t="s">
        <v>191</v>
      </c>
      <c r="D42" s="7">
        <v>5000</v>
      </c>
      <c r="E42" s="8">
        <v>3587.26</v>
      </c>
      <c r="F42" s="8">
        <v>3587.26</v>
      </c>
      <c r="G42" s="8">
        <v>0</v>
      </c>
      <c r="H42" s="8">
        <v>-1412.74</v>
      </c>
    </row>
    <row r="43" spans="2:8" x14ac:dyDescent="0.25">
      <c r="B43" s="16" t="s">
        <v>193</v>
      </c>
      <c r="D43" s="7">
        <v>5000</v>
      </c>
      <c r="E43" s="8">
        <v>3587.26</v>
      </c>
      <c r="F43" s="8">
        <v>3587.26</v>
      </c>
      <c r="G43" s="8">
        <v>0</v>
      </c>
      <c r="H43" s="8">
        <v>-1412.74</v>
      </c>
    </row>
    <row r="44" spans="2:8" x14ac:dyDescent="0.25">
      <c r="C44" s="9" t="s">
        <v>148</v>
      </c>
      <c r="D44" s="7">
        <v>5000</v>
      </c>
      <c r="E44" s="8">
        <v>3587.26</v>
      </c>
      <c r="F44" s="8">
        <v>3587.26</v>
      </c>
      <c r="G44" s="8">
        <v>0</v>
      </c>
      <c r="H44" s="8">
        <v>-1412.74</v>
      </c>
    </row>
    <row r="45" spans="2:8" x14ac:dyDescent="0.25">
      <c r="B45" s="15" t="s">
        <v>195</v>
      </c>
      <c r="D45" s="7">
        <v>21741.48</v>
      </c>
      <c r="E45" s="8">
        <v>11980</v>
      </c>
      <c r="F45" s="8">
        <v>11980</v>
      </c>
      <c r="G45" s="8">
        <v>0</v>
      </c>
      <c r="H45" s="8">
        <v>-9761.48</v>
      </c>
    </row>
    <row r="46" spans="2:8" x14ac:dyDescent="0.25">
      <c r="B46" s="16" t="s">
        <v>197</v>
      </c>
      <c r="D46" s="7">
        <v>4136.16</v>
      </c>
      <c r="E46" s="8">
        <v>0</v>
      </c>
      <c r="F46" s="8">
        <v>0</v>
      </c>
      <c r="G46" s="8">
        <v>0</v>
      </c>
      <c r="H46" s="8">
        <v>-4136.16</v>
      </c>
    </row>
    <row r="47" spans="2:8" x14ac:dyDescent="0.25">
      <c r="C47" s="9" t="s">
        <v>200</v>
      </c>
      <c r="D47" s="7">
        <v>4136.16</v>
      </c>
      <c r="E47" s="8">
        <v>0</v>
      </c>
      <c r="F47" s="8">
        <v>0</v>
      </c>
      <c r="G47" s="8">
        <v>0</v>
      </c>
      <c r="H47" s="8">
        <v>-4136.16</v>
      </c>
    </row>
    <row r="48" spans="2:8" x14ac:dyDescent="0.25">
      <c r="B48" s="16" t="s">
        <v>202</v>
      </c>
      <c r="D48" s="7">
        <v>17605.32</v>
      </c>
      <c r="E48" s="8">
        <v>11980</v>
      </c>
      <c r="F48" s="8">
        <v>11980</v>
      </c>
      <c r="G48" s="8">
        <v>0</v>
      </c>
      <c r="H48" s="8">
        <v>-5625.32</v>
      </c>
    </row>
    <row r="49" spans="2:8" x14ac:dyDescent="0.25">
      <c r="C49" s="9" t="s">
        <v>189</v>
      </c>
      <c r="D49" s="7">
        <v>17605.32</v>
      </c>
      <c r="E49" s="8">
        <v>11980</v>
      </c>
      <c r="F49" s="8">
        <v>11980</v>
      </c>
      <c r="G49" s="8">
        <v>0</v>
      </c>
      <c r="H49" s="8">
        <v>-5625.32</v>
      </c>
    </row>
    <row r="50" spans="2:8" x14ac:dyDescent="0.25">
      <c r="B50" s="14" t="s">
        <v>205</v>
      </c>
      <c r="D50" s="7">
        <v>421477.45</v>
      </c>
      <c r="E50" s="8">
        <v>371232.08</v>
      </c>
      <c r="F50" s="8">
        <v>371232.08</v>
      </c>
      <c r="G50" s="8">
        <v>0</v>
      </c>
      <c r="H50" s="8">
        <v>-50245.37</v>
      </c>
    </row>
    <row r="51" spans="2:8" x14ac:dyDescent="0.25">
      <c r="B51" s="15" t="s">
        <v>207</v>
      </c>
      <c r="D51" s="7">
        <v>400000</v>
      </c>
      <c r="E51" s="8">
        <v>353467.61</v>
      </c>
      <c r="F51" s="8">
        <v>353467.61</v>
      </c>
      <c r="G51" s="8">
        <v>0</v>
      </c>
      <c r="H51" s="8">
        <v>-46532.39</v>
      </c>
    </row>
    <row r="52" spans="2:8" x14ac:dyDescent="0.25">
      <c r="B52" s="16" t="s">
        <v>209</v>
      </c>
      <c r="D52" s="7">
        <v>400000</v>
      </c>
      <c r="E52" s="8">
        <v>353467.61</v>
      </c>
      <c r="F52" s="8">
        <v>353467.61</v>
      </c>
      <c r="G52" s="8">
        <v>0</v>
      </c>
      <c r="H52" s="8">
        <v>-46532.39</v>
      </c>
    </row>
    <row r="53" spans="2:8" x14ac:dyDescent="0.25">
      <c r="C53" s="9" t="s">
        <v>212</v>
      </c>
      <c r="D53" s="7">
        <v>400000</v>
      </c>
      <c r="E53" s="8">
        <v>353467.61</v>
      </c>
      <c r="F53" s="8">
        <v>353467.61</v>
      </c>
      <c r="G53" s="8">
        <v>0</v>
      </c>
      <c r="H53" s="8">
        <v>-46532.39</v>
      </c>
    </row>
    <row r="54" spans="2:8" x14ac:dyDescent="0.25">
      <c r="B54" s="15" t="s">
        <v>214</v>
      </c>
      <c r="D54" s="7">
        <v>21477.45</v>
      </c>
      <c r="E54" s="8">
        <v>17764.47</v>
      </c>
      <c r="F54" s="8">
        <v>17764.47</v>
      </c>
      <c r="G54" s="8">
        <v>0</v>
      </c>
      <c r="H54" s="8">
        <v>-3712.98</v>
      </c>
    </row>
    <row r="55" spans="2:8" x14ac:dyDescent="0.25">
      <c r="B55" s="16" t="s">
        <v>216</v>
      </c>
      <c r="D55" s="7">
        <v>10768.7</v>
      </c>
      <c r="E55" s="8">
        <v>10420.08</v>
      </c>
      <c r="F55" s="8">
        <v>10420.08</v>
      </c>
      <c r="G55" s="8">
        <v>0</v>
      </c>
      <c r="H55" s="8">
        <v>-348.62</v>
      </c>
    </row>
    <row r="56" spans="2:8" x14ac:dyDescent="0.25">
      <c r="C56" s="9" t="s">
        <v>219</v>
      </c>
      <c r="D56" s="7">
        <v>10768.7</v>
      </c>
      <c r="E56" s="8">
        <v>10420.08</v>
      </c>
      <c r="F56" s="8">
        <v>10420.08</v>
      </c>
      <c r="G56" s="8">
        <v>0</v>
      </c>
      <c r="H56" s="8">
        <v>-348.62</v>
      </c>
    </row>
    <row r="57" spans="2:8" x14ac:dyDescent="0.25">
      <c r="B57" s="16" t="s">
        <v>221</v>
      </c>
      <c r="D57" s="7">
        <v>132.34</v>
      </c>
      <c r="E57" s="8">
        <v>53.19</v>
      </c>
      <c r="F57" s="8">
        <v>53.19</v>
      </c>
      <c r="G57" s="8">
        <v>0</v>
      </c>
      <c r="H57" s="8">
        <v>-79.150000000000006</v>
      </c>
    </row>
    <row r="58" spans="2:8" x14ac:dyDescent="0.25">
      <c r="C58" s="9" t="s">
        <v>219</v>
      </c>
      <c r="D58" s="7">
        <v>132.34</v>
      </c>
      <c r="E58" s="8">
        <v>53.19</v>
      </c>
      <c r="F58" s="8">
        <v>53.19</v>
      </c>
      <c r="G58" s="8">
        <v>0</v>
      </c>
      <c r="H58" s="8">
        <v>-79.150000000000006</v>
      </c>
    </row>
    <row r="59" spans="2:8" x14ac:dyDescent="0.25">
      <c r="B59" s="16" t="s">
        <v>223</v>
      </c>
      <c r="D59" s="7">
        <v>4349.25</v>
      </c>
      <c r="E59" s="8">
        <v>2200.69</v>
      </c>
      <c r="F59" s="8">
        <v>2200.69</v>
      </c>
      <c r="G59" s="8">
        <v>0</v>
      </c>
      <c r="H59" s="8">
        <v>-2148.56</v>
      </c>
    </row>
    <row r="60" spans="2:8" x14ac:dyDescent="0.25">
      <c r="C60" s="9" t="s">
        <v>219</v>
      </c>
      <c r="D60" s="7">
        <v>4349.25</v>
      </c>
      <c r="E60" s="8">
        <v>2200.69</v>
      </c>
      <c r="F60" s="8">
        <v>2200.69</v>
      </c>
      <c r="G60" s="8">
        <v>0</v>
      </c>
      <c r="H60" s="8">
        <v>-2148.56</v>
      </c>
    </row>
    <row r="61" spans="2:8" x14ac:dyDescent="0.25">
      <c r="B61" s="16" t="s">
        <v>225</v>
      </c>
      <c r="D61" s="7">
        <v>6227.16</v>
      </c>
      <c r="E61" s="8">
        <v>5090.51</v>
      </c>
      <c r="F61" s="8">
        <v>5090.51</v>
      </c>
      <c r="G61" s="8">
        <v>0</v>
      </c>
      <c r="H61" s="8">
        <v>-1136.6500000000001</v>
      </c>
    </row>
    <row r="62" spans="2:8" x14ac:dyDescent="0.25">
      <c r="C62" s="9" t="s">
        <v>219</v>
      </c>
      <c r="D62" s="7">
        <v>6227.16</v>
      </c>
      <c r="E62" s="8">
        <v>5090.51</v>
      </c>
      <c r="F62" s="8">
        <v>5090.51</v>
      </c>
      <c r="G62" s="8">
        <v>0</v>
      </c>
      <c r="H62" s="8">
        <v>-1136.6500000000001</v>
      </c>
    </row>
    <row r="63" spans="2:8" x14ac:dyDescent="0.25">
      <c r="B63" s="14" t="s">
        <v>228</v>
      </c>
      <c r="D63" s="7">
        <v>132824.73000000001</v>
      </c>
      <c r="E63" s="8">
        <v>123326.03</v>
      </c>
      <c r="F63" s="8">
        <v>123326.03</v>
      </c>
      <c r="G63" s="8">
        <v>0</v>
      </c>
      <c r="H63" s="8">
        <v>-9498.7000000000007</v>
      </c>
    </row>
    <row r="64" spans="2:8" x14ac:dyDescent="0.25">
      <c r="B64" s="15" t="s">
        <v>230</v>
      </c>
      <c r="D64" s="7">
        <v>17616.400000000001</v>
      </c>
      <c r="E64" s="8">
        <v>10867.7</v>
      </c>
      <c r="F64" s="8">
        <v>10867.7</v>
      </c>
      <c r="G64" s="8">
        <v>0</v>
      </c>
      <c r="H64" s="8">
        <v>-6748.7</v>
      </c>
    </row>
    <row r="65" spans="2:8" x14ac:dyDescent="0.25">
      <c r="B65" s="16" t="s">
        <v>232</v>
      </c>
      <c r="D65" s="7">
        <v>11327.4</v>
      </c>
      <c r="E65" s="8">
        <v>4676.17</v>
      </c>
      <c r="F65" s="8">
        <v>4676.17</v>
      </c>
      <c r="G65" s="8">
        <v>0</v>
      </c>
      <c r="H65" s="8">
        <v>-6651.23</v>
      </c>
    </row>
    <row r="66" spans="2:8" x14ac:dyDescent="0.25">
      <c r="C66" s="9" t="s">
        <v>148</v>
      </c>
      <c r="D66" s="7">
        <v>11327.4</v>
      </c>
      <c r="E66" s="8">
        <v>4676.17</v>
      </c>
      <c r="F66" s="8">
        <v>4676.17</v>
      </c>
      <c r="G66" s="8">
        <v>0</v>
      </c>
      <c r="H66" s="8">
        <v>-6651.23</v>
      </c>
    </row>
    <row r="67" spans="2:8" x14ac:dyDescent="0.25">
      <c r="B67" s="16" t="s">
        <v>234</v>
      </c>
      <c r="D67" s="7">
        <v>6289</v>
      </c>
      <c r="E67" s="8">
        <v>6191.53</v>
      </c>
      <c r="F67" s="8">
        <v>6191.53</v>
      </c>
      <c r="G67" s="8">
        <v>0</v>
      </c>
      <c r="H67" s="8">
        <v>-97.47</v>
      </c>
    </row>
    <row r="68" spans="2:8" x14ac:dyDescent="0.25">
      <c r="C68" s="9" t="s">
        <v>148</v>
      </c>
      <c r="D68" s="7">
        <v>6289</v>
      </c>
      <c r="E68" s="8">
        <v>6191.53</v>
      </c>
      <c r="F68" s="8">
        <v>6191.53</v>
      </c>
      <c r="G68" s="8">
        <v>0</v>
      </c>
      <c r="H68" s="8">
        <v>-97.47</v>
      </c>
    </row>
    <row r="69" spans="2:8" x14ac:dyDescent="0.25">
      <c r="B69" s="15" t="s">
        <v>251</v>
      </c>
      <c r="D69" s="7">
        <v>5358.83</v>
      </c>
      <c r="E69" s="8">
        <v>5358.83</v>
      </c>
      <c r="F69" s="8">
        <v>5358.83</v>
      </c>
      <c r="G69" s="8">
        <v>0</v>
      </c>
      <c r="H69" s="8">
        <v>0</v>
      </c>
    </row>
    <row r="70" spans="2:8" x14ac:dyDescent="0.25">
      <c r="B70" s="16" t="s">
        <v>253</v>
      </c>
      <c r="D70" s="7">
        <v>5358.83</v>
      </c>
      <c r="E70" s="8">
        <v>5358.83</v>
      </c>
      <c r="F70" s="8">
        <v>5358.83</v>
      </c>
      <c r="G70" s="8">
        <v>0</v>
      </c>
      <c r="H70" s="8">
        <v>0</v>
      </c>
    </row>
    <row r="71" spans="2:8" x14ac:dyDescent="0.25">
      <c r="B71" s="15" t="s">
        <v>236</v>
      </c>
      <c r="D71" s="7">
        <v>106299.5</v>
      </c>
      <c r="E71" s="8">
        <v>106299.5</v>
      </c>
      <c r="F71" s="8">
        <v>106299.5</v>
      </c>
      <c r="G71" s="8">
        <v>0</v>
      </c>
      <c r="H71" s="8">
        <v>0</v>
      </c>
    </row>
    <row r="72" spans="2:8" x14ac:dyDescent="0.25">
      <c r="B72" s="16" t="s">
        <v>238</v>
      </c>
      <c r="D72" s="7">
        <v>106299.5</v>
      </c>
      <c r="E72" s="8">
        <v>106299.5</v>
      </c>
      <c r="F72" s="8">
        <v>106299.5</v>
      </c>
      <c r="G72" s="8">
        <v>0</v>
      </c>
      <c r="H72" s="8">
        <v>0</v>
      </c>
    </row>
    <row r="73" spans="2:8" x14ac:dyDescent="0.25">
      <c r="C73" s="9" t="s">
        <v>141</v>
      </c>
      <c r="D73" s="7">
        <v>106299.5</v>
      </c>
      <c r="E73" s="8">
        <v>106299.5</v>
      </c>
      <c r="F73" s="8">
        <v>106299.5</v>
      </c>
      <c r="G73" s="8">
        <v>0</v>
      </c>
      <c r="H73" s="8">
        <v>0</v>
      </c>
    </row>
    <row r="74" spans="2:8" x14ac:dyDescent="0.25">
      <c r="B74" s="15" t="s">
        <v>240</v>
      </c>
      <c r="D74" s="7">
        <v>3550</v>
      </c>
      <c r="E74" s="8">
        <v>800</v>
      </c>
      <c r="F74" s="8">
        <v>800</v>
      </c>
      <c r="G74" s="8">
        <v>0</v>
      </c>
      <c r="H74" s="8">
        <v>-2750</v>
      </c>
    </row>
    <row r="75" spans="2:8" x14ac:dyDescent="0.25">
      <c r="B75" s="16" t="s">
        <v>242</v>
      </c>
      <c r="D75" s="7">
        <v>250</v>
      </c>
      <c r="E75" s="8">
        <v>0</v>
      </c>
      <c r="F75" s="8">
        <v>0</v>
      </c>
      <c r="G75" s="8">
        <v>0</v>
      </c>
      <c r="H75" s="8">
        <v>-250</v>
      </c>
    </row>
    <row r="76" spans="2:8" x14ac:dyDescent="0.25">
      <c r="C76" s="9" t="s">
        <v>159</v>
      </c>
      <c r="D76" s="7">
        <v>250</v>
      </c>
      <c r="E76" s="8">
        <v>0</v>
      </c>
      <c r="F76" s="8">
        <v>0</v>
      </c>
      <c r="G76" s="8">
        <v>0</v>
      </c>
      <c r="H76" s="8">
        <v>-250</v>
      </c>
    </row>
    <row r="77" spans="2:8" x14ac:dyDescent="0.25">
      <c r="B77" s="16" t="s">
        <v>244</v>
      </c>
      <c r="D77" s="7">
        <v>3000</v>
      </c>
      <c r="E77" s="8">
        <v>800</v>
      </c>
      <c r="F77" s="8">
        <v>800</v>
      </c>
      <c r="G77" s="8">
        <v>0</v>
      </c>
      <c r="H77" s="8">
        <v>-2200</v>
      </c>
    </row>
    <row r="78" spans="2:8" x14ac:dyDescent="0.25">
      <c r="C78" s="9" t="s">
        <v>167</v>
      </c>
      <c r="D78" s="7">
        <v>3000</v>
      </c>
      <c r="E78" s="8">
        <v>800</v>
      </c>
      <c r="F78" s="8">
        <v>800</v>
      </c>
      <c r="G78" s="8">
        <v>0</v>
      </c>
      <c r="H78" s="8">
        <v>-2200</v>
      </c>
    </row>
    <row r="79" spans="2:8" x14ac:dyDescent="0.25">
      <c r="B79" s="16" t="s">
        <v>246</v>
      </c>
      <c r="D79" s="7">
        <v>300</v>
      </c>
      <c r="E79" s="8">
        <v>0</v>
      </c>
      <c r="F79" s="8">
        <v>0</v>
      </c>
      <c r="G79" s="8">
        <v>0</v>
      </c>
      <c r="H79" s="8">
        <v>-300</v>
      </c>
    </row>
    <row r="80" spans="2:8" x14ac:dyDescent="0.25">
      <c r="C80" s="9" t="s">
        <v>249</v>
      </c>
      <c r="D80" s="7">
        <v>300</v>
      </c>
      <c r="E80" s="8">
        <v>0</v>
      </c>
      <c r="F80" s="8">
        <v>0</v>
      </c>
      <c r="G80" s="8">
        <v>0</v>
      </c>
      <c r="H80" s="8">
        <v>-300</v>
      </c>
    </row>
    <row r="81" spans="2:8" x14ac:dyDescent="0.25">
      <c r="B81" s="13" t="s">
        <v>262</v>
      </c>
      <c r="D81" s="7">
        <v>207499.65</v>
      </c>
      <c r="E81" s="8">
        <v>195926.05</v>
      </c>
      <c r="F81" s="8">
        <v>195926.05</v>
      </c>
      <c r="G81" s="8">
        <v>0</v>
      </c>
      <c r="H81" s="8">
        <v>-11573.6</v>
      </c>
    </row>
    <row r="82" spans="2:8" x14ac:dyDescent="0.25">
      <c r="B82" s="14" t="s">
        <v>265</v>
      </c>
      <c r="D82" s="7">
        <v>207499.65</v>
      </c>
      <c r="E82" s="8">
        <v>195926.05</v>
      </c>
      <c r="F82" s="8">
        <v>195926.05</v>
      </c>
      <c r="G82" s="8">
        <v>0</v>
      </c>
      <c r="H82" s="8">
        <v>-11573.6</v>
      </c>
    </row>
    <row r="83" spans="2:8" x14ac:dyDescent="0.25">
      <c r="B83" s="15" t="s">
        <v>267</v>
      </c>
      <c r="D83" s="7">
        <v>58350</v>
      </c>
      <c r="E83" s="8">
        <v>46776.4</v>
      </c>
      <c r="F83" s="8">
        <v>46776.4</v>
      </c>
      <c r="G83" s="8">
        <v>0</v>
      </c>
      <c r="H83" s="8">
        <v>-11573.6</v>
      </c>
    </row>
    <row r="84" spans="2:8" x14ac:dyDescent="0.25">
      <c r="B84" s="16" t="s">
        <v>269</v>
      </c>
      <c r="D84" s="7">
        <v>58350</v>
      </c>
      <c r="E84" s="8">
        <v>46776.4</v>
      </c>
      <c r="F84" s="8">
        <v>46776.4</v>
      </c>
      <c r="G84" s="8">
        <v>0</v>
      </c>
      <c r="H84" s="8">
        <v>-11573.6</v>
      </c>
    </row>
    <row r="85" spans="2:8" x14ac:dyDescent="0.25">
      <c r="C85" s="9" t="s">
        <v>272</v>
      </c>
      <c r="D85" s="7">
        <v>58350</v>
      </c>
      <c r="E85" s="8">
        <v>46776.4</v>
      </c>
      <c r="F85" s="8">
        <v>46776.4</v>
      </c>
      <c r="G85" s="8">
        <v>0</v>
      </c>
      <c r="H85" s="8">
        <v>-11573.6</v>
      </c>
    </row>
    <row r="86" spans="2:8" x14ac:dyDescent="0.25">
      <c r="B86" s="15" t="s">
        <v>274</v>
      </c>
      <c r="D86" s="7">
        <v>400</v>
      </c>
      <c r="E86" s="8">
        <v>925</v>
      </c>
      <c r="F86" s="8">
        <v>925</v>
      </c>
      <c r="G86" s="8">
        <v>0</v>
      </c>
      <c r="H86" s="8">
        <v>525</v>
      </c>
    </row>
    <row r="87" spans="2:8" x14ac:dyDescent="0.25">
      <c r="B87" s="16" t="s">
        <v>276</v>
      </c>
      <c r="D87" s="7">
        <v>400</v>
      </c>
      <c r="E87" s="8">
        <v>925</v>
      </c>
      <c r="F87" s="8">
        <v>925</v>
      </c>
      <c r="G87" s="8">
        <v>0</v>
      </c>
      <c r="H87" s="8">
        <v>525</v>
      </c>
    </row>
    <row r="88" spans="2:8" x14ac:dyDescent="0.25">
      <c r="C88" s="9" t="s">
        <v>279</v>
      </c>
      <c r="D88" s="7">
        <v>400</v>
      </c>
      <c r="E88" s="8">
        <v>925</v>
      </c>
      <c r="F88" s="8">
        <v>925</v>
      </c>
      <c r="G88" s="8">
        <v>0</v>
      </c>
      <c r="H88" s="8">
        <v>525</v>
      </c>
    </row>
    <row r="89" spans="2:8" x14ac:dyDescent="0.25">
      <c r="B89" s="15" t="s">
        <v>281</v>
      </c>
      <c r="D89" s="7">
        <v>148749.65</v>
      </c>
      <c r="E89" s="8">
        <v>148224.65</v>
      </c>
      <c r="F89" s="8">
        <v>148224.65</v>
      </c>
      <c r="G89" s="8">
        <v>0</v>
      </c>
      <c r="H89" s="8">
        <v>-525</v>
      </c>
    </row>
    <row r="90" spans="2:8" x14ac:dyDescent="0.25">
      <c r="B90" s="16" t="s">
        <v>283</v>
      </c>
      <c r="D90" s="7">
        <v>147309.9</v>
      </c>
      <c r="E90" s="8">
        <v>147309.9</v>
      </c>
      <c r="F90" s="8">
        <v>147309.9</v>
      </c>
      <c r="G90" s="8">
        <v>0</v>
      </c>
      <c r="H90" s="8">
        <v>0</v>
      </c>
    </row>
    <row r="91" spans="2:8" x14ac:dyDescent="0.25">
      <c r="C91" s="9" t="s">
        <v>286</v>
      </c>
      <c r="D91" s="7">
        <v>147309.9</v>
      </c>
      <c r="E91" s="8">
        <v>147309.9</v>
      </c>
      <c r="F91" s="8">
        <v>147309.9</v>
      </c>
      <c r="G91" s="8">
        <v>0</v>
      </c>
      <c r="H91" s="8">
        <v>0</v>
      </c>
    </row>
    <row r="92" spans="2:8" x14ac:dyDescent="0.25">
      <c r="B92" s="16" t="s">
        <v>288</v>
      </c>
      <c r="D92" s="7">
        <v>1439.75</v>
      </c>
      <c r="E92" s="8">
        <v>914.75</v>
      </c>
      <c r="F92" s="8">
        <v>914.75</v>
      </c>
      <c r="G92" s="8">
        <v>0</v>
      </c>
      <c r="H92" s="8">
        <v>-525</v>
      </c>
    </row>
    <row r="93" spans="2:8" x14ac:dyDescent="0.25">
      <c r="C93" s="9" t="s">
        <v>291</v>
      </c>
      <c r="D93" s="7">
        <v>1439.75</v>
      </c>
      <c r="E93" s="8">
        <v>914.75</v>
      </c>
      <c r="F93" s="8">
        <v>914.75</v>
      </c>
      <c r="G93" s="8">
        <v>0</v>
      </c>
      <c r="H93" s="8">
        <v>-525</v>
      </c>
    </row>
    <row r="94" spans="2:8" x14ac:dyDescent="0.25">
      <c r="B94" s="12" t="s">
        <v>294</v>
      </c>
      <c r="D94" s="7">
        <v>1000</v>
      </c>
      <c r="E94" s="8">
        <v>0</v>
      </c>
      <c r="F94" s="8">
        <v>0</v>
      </c>
      <c r="G94" s="8">
        <v>0</v>
      </c>
      <c r="H94" s="8">
        <v>-1000</v>
      </c>
    </row>
    <row r="95" spans="2:8" x14ac:dyDescent="0.25">
      <c r="B95" s="13" t="s">
        <v>297</v>
      </c>
      <c r="D95" s="7">
        <v>1000</v>
      </c>
      <c r="E95" s="8">
        <v>0</v>
      </c>
      <c r="F95" s="8">
        <v>0</v>
      </c>
      <c r="G95" s="8">
        <v>0</v>
      </c>
      <c r="H95" s="8">
        <v>-1000</v>
      </c>
    </row>
    <row r="96" spans="2:8" x14ac:dyDescent="0.25">
      <c r="B96" s="14" t="s">
        <v>300</v>
      </c>
      <c r="D96" s="7">
        <v>1000</v>
      </c>
      <c r="E96" s="8">
        <v>0</v>
      </c>
      <c r="F96" s="8">
        <v>0</v>
      </c>
      <c r="G96" s="8">
        <v>0</v>
      </c>
      <c r="H96" s="8">
        <v>-1000</v>
      </c>
    </row>
    <row r="97" spans="2:8" x14ac:dyDescent="0.25">
      <c r="B97" s="15" t="s">
        <v>302</v>
      </c>
      <c r="D97" s="7">
        <v>1000</v>
      </c>
      <c r="E97" s="8">
        <v>0</v>
      </c>
      <c r="F97" s="8">
        <v>0</v>
      </c>
      <c r="G97" s="8">
        <v>0</v>
      </c>
      <c r="H97" s="8">
        <v>-1000</v>
      </c>
    </row>
    <row r="98" spans="2:8" x14ac:dyDescent="0.25">
      <c r="B98" s="16" t="s">
        <v>304</v>
      </c>
      <c r="D98" s="7">
        <v>1000</v>
      </c>
      <c r="E98" s="8">
        <v>0</v>
      </c>
      <c r="F98" s="8">
        <v>0</v>
      </c>
      <c r="G98" s="8">
        <v>0</v>
      </c>
      <c r="H98" s="8">
        <v>-1000</v>
      </c>
    </row>
    <row r="99" spans="2:8" x14ac:dyDescent="0.25">
      <c r="C99" s="9" t="s">
        <v>307</v>
      </c>
      <c r="D99" s="7">
        <v>1000</v>
      </c>
      <c r="E99" s="8">
        <v>0</v>
      </c>
      <c r="F99" s="8">
        <v>0</v>
      </c>
      <c r="G99" s="8">
        <v>0</v>
      </c>
      <c r="H99" s="8">
        <v>-1000</v>
      </c>
    </row>
    <row r="100" spans="2:8" x14ac:dyDescent="0.25">
      <c r="B100" s="9" t="s">
        <v>8</v>
      </c>
      <c r="D100" s="7">
        <v>904115.11</v>
      </c>
      <c r="E100" s="8">
        <v>793266.68000000017</v>
      </c>
      <c r="F100" s="8">
        <v>793266.68000000017</v>
      </c>
      <c r="G100" s="8">
        <v>0</v>
      </c>
      <c r="H100" s="8">
        <v>-110848.42999999998</v>
      </c>
    </row>
  </sheetData>
  <mergeCells count="1">
    <mergeCell ref="C1:F1"/>
  </mergeCells>
  <pageMargins left="0.7" right="0.7" top="0.75" bottom="0.75" header="0.3" footer="0.3"/>
  <pageSetup paperSize="9" scale="84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35"/>
  <sheetViews>
    <sheetView workbookViewId="0"/>
  </sheetViews>
  <sheetFormatPr baseColWidth="10" defaultColWidth="11.42578125" defaultRowHeight="15" x14ac:dyDescent="0.25"/>
  <cols>
    <col min="1" max="1" width="13.5703125" style="6" bestFit="1" customWidth="1"/>
    <col min="2" max="2" width="15.140625" style="6" bestFit="1" customWidth="1"/>
    <col min="3" max="3" width="13.42578125" style="6" bestFit="1" customWidth="1"/>
    <col min="4" max="4" width="21.42578125" style="6" bestFit="1" customWidth="1"/>
    <col min="5" max="5" width="15.140625" style="6" bestFit="1" customWidth="1"/>
    <col min="6" max="6" width="13.42578125" style="6" bestFit="1" customWidth="1"/>
    <col min="7" max="7" width="21.42578125" style="6" bestFit="1" customWidth="1"/>
    <col min="8" max="8" width="15.140625" style="6" bestFit="1" customWidth="1"/>
    <col min="9" max="9" width="13.42578125" style="8" bestFit="1" customWidth="1"/>
    <col min="10" max="10" width="21.42578125" style="8" bestFit="1" customWidth="1"/>
    <col min="11" max="11" width="15.140625" style="8" bestFit="1" customWidth="1"/>
    <col min="12" max="12" width="13.42578125" style="8" bestFit="1" customWidth="1"/>
    <col min="13" max="13" width="21.42578125" style="8" bestFit="1" customWidth="1"/>
    <col min="14" max="14" width="15.140625" style="8" bestFit="1" customWidth="1"/>
    <col min="15" max="15" width="13.42578125" style="8" bestFit="1" customWidth="1"/>
    <col min="16" max="16" width="21.42578125" style="8" bestFit="1" customWidth="1"/>
    <col min="17" max="17" width="15.140625" style="8" bestFit="1" customWidth="1"/>
    <col min="18" max="18" width="13.42578125" style="6" bestFit="1" customWidth="1"/>
    <col min="19" max="19" width="21.42578125" style="6" bestFit="1" customWidth="1"/>
    <col min="20" max="20" width="15.140625" style="6" bestFit="1" customWidth="1"/>
    <col min="21" max="21" width="13.42578125" style="6" bestFit="1" customWidth="1"/>
    <col min="22" max="22" width="21.42578125" style="6" bestFit="1" customWidth="1"/>
    <col min="23" max="23" width="15.140625" style="6" bestFit="1" customWidth="1"/>
    <col min="24" max="24" width="13.42578125" style="6" bestFit="1" customWidth="1"/>
    <col min="25" max="25" width="21.42578125" style="6" bestFit="1" customWidth="1"/>
    <col min="26" max="26" width="15.140625" style="6" bestFit="1" customWidth="1"/>
    <col min="27" max="27" width="13.42578125" style="6" bestFit="1" customWidth="1"/>
    <col min="28" max="28" width="21.42578125" style="6" bestFit="1" customWidth="1"/>
    <col min="29" max="29" width="16.28515625" style="6" bestFit="1" customWidth="1"/>
    <col min="30" max="30" width="13.42578125" style="6" bestFit="1" customWidth="1"/>
    <col min="31" max="31" width="22.42578125" style="6" bestFit="1" customWidth="1"/>
    <col min="32" max="32" width="16.7109375" style="6" bestFit="1" customWidth="1"/>
    <col min="33" max="33" width="13.42578125" style="6" bestFit="1" customWidth="1"/>
    <col min="34" max="34" width="22.85546875" style="6" bestFit="1" customWidth="1"/>
    <col min="35" max="35" width="16.7109375" style="6" bestFit="1" customWidth="1"/>
    <col min="36" max="36" width="13.42578125" style="6" bestFit="1" customWidth="1"/>
    <col min="37" max="37" width="22.85546875" style="6" bestFit="1" customWidth="1"/>
    <col min="38" max="38" width="16.7109375" style="6" bestFit="1" customWidth="1"/>
    <col min="39" max="39" width="13.42578125" style="6" bestFit="1" customWidth="1"/>
    <col min="40" max="40" width="22.85546875" style="6" bestFit="1" customWidth="1"/>
    <col min="41" max="41" width="16.7109375" style="6" bestFit="1" customWidth="1"/>
    <col min="42" max="42" width="13.42578125" style="6" bestFit="1" customWidth="1"/>
    <col min="43" max="43" width="22.85546875" style="6" bestFit="1" customWidth="1"/>
    <col min="44" max="44" width="16.7109375" style="6" bestFit="1" customWidth="1"/>
    <col min="45" max="45" width="13.42578125" style="6" bestFit="1" customWidth="1"/>
    <col min="46" max="46" width="22.85546875" style="6" bestFit="1" customWidth="1"/>
    <col min="47" max="47" width="16.7109375" style="6" bestFit="1" customWidth="1"/>
    <col min="48" max="48" width="13.42578125" style="6" bestFit="1" customWidth="1"/>
    <col min="49" max="49" width="22.85546875" style="6" bestFit="1" customWidth="1"/>
    <col min="50" max="50" width="16.7109375" style="6" bestFit="1" customWidth="1"/>
    <col min="51" max="51" width="13.42578125" style="6" bestFit="1" customWidth="1"/>
    <col min="52" max="52" width="22.85546875" style="6" bestFit="1" customWidth="1"/>
    <col min="53" max="53" width="16.7109375" style="6" bestFit="1" customWidth="1"/>
    <col min="54" max="54" width="13.42578125" style="6" bestFit="1" customWidth="1"/>
    <col min="55" max="55" width="22.85546875" style="6" bestFit="1" customWidth="1"/>
    <col min="56" max="56" width="16.7109375" style="6" bestFit="1" customWidth="1"/>
    <col min="57" max="57" width="13.42578125" style="6" bestFit="1" customWidth="1"/>
    <col min="58" max="58" width="22.85546875" style="6" bestFit="1" customWidth="1"/>
    <col min="59" max="59" width="17.7109375" style="6" bestFit="1" customWidth="1"/>
    <col min="60" max="60" width="13.42578125" style="6" bestFit="1" customWidth="1"/>
    <col min="61" max="61" width="23.85546875" style="6" bestFit="1" customWidth="1"/>
    <col min="62" max="62" width="8" style="6" bestFit="1" customWidth="1"/>
    <col min="63" max="63" width="13.42578125" style="6" bestFit="1" customWidth="1"/>
    <col min="64" max="72" width="17.7109375" style="6" bestFit="1" customWidth="1"/>
    <col min="73" max="76" width="18.7109375" style="6" bestFit="1" customWidth="1"/>
    <col min="77" max="77" width="33.7109375" style="6" customWidth="1"/>
    <col min="78" max="78" width="13.42578125" style="6" customWidth="1"/>
    <col min="79" max="107" width="11.42578125" style="6" hidden="1" customWidth="1"/>
    <col min="108" max="16384" width="11.42578125" style="6"/>
  </cols>
  <sheetData>
    <row r="1" spans="1:108" x14ac:dyDescent="0.25">
      <c r="A1" s="6" t="s">
        <v>0</v>
      </c>
      <c r="B1" s="9" t="str">
        <f>CA3</f>
        <v>102045572</v>
      </c>
      <c r="C1" s="6" t="s">
        <v>1</v>
      </c>
      <c r="D1" s="6" t="str">
        <f>CB3</f>
        <v>032FRANTZFRANCOISC01</v>
      </c>
      <c r="E1" s="6" t="s">
        <v>2</v>
      </c>
      <c r="F1" s="6" t="str">
        <f>CC3</f>
        <v>30/03/2026</v>
      </c>
      <c r="G1" s="6" t="s">
        <v>83</v>
      </c>
      <c r="H1" s="6" t="str">
        <f>BY3</f>
        <v>P03427</v>
      </c>
      <c r="I1" s="6" t="str">
        <f>BZ3</f>
        <v>9710040S</v>
      </c>
      <c r="J1" s="6"/>
      <c r="K1" s="6"/>
      <c r="L1" s="6"/>
      <c r="M1" s="6"/>
      <c r="N1" s="6"/>
      <c r="O1" s="6"/>
      <c r="P1" s="6"/>
      <c r="Q1" s="6"/>
    </row>
    <row r="2" spans="1:108" x14ac:dyDescent="0.25">
      <c r="A2" s="6" t="s">
        <v>5</v>
      </c>
      <c r="B2" s="6" t="s">
        <v>10</v>
      </c>
      <c r="C2" s="6" t="s">
        <v>9</v>
      </c>
      <c r="D2" s="6" t="s">
        <v>61</v>
      </c>
      <c r="E2" s="6" t="s">
        <v>11</v>
      </c>
      <c r="F2" s="6" t="s">
        <v>9</v>
      </c>
      <c r="G2" s="6" t="s">
        <v>62</v>
      </c>
      <c r="H2" s="6" t="s">
        <v>12</v>
      </c>
      <c r="I2" s="6" t="s">
        <v>9</v>
      </c>
      <c r="J2" s="6" t="s">
        <v>63</v>
      </c>
      <c r="K2" s="6" t="s">
        <v>13</v>
      </c>
      <c r="L2" s="6" t="s">
        <v>9</v>
      </c>
      <c r="M2" s="6" t="s">
        <v>64</v>
      </c>
      <c r="N2" s="6" t="s">
        <v>14</v>
      </c>
      <c r="O2" s="6" t="s">
        <v>9</v>
      </c>
      <c r="P2" s="6" t="s">
        <v>65</v>
      </c>
      <c r="Q2" s="6" t="s">
        <v>15</v>
      </c>
      <c r="R2" s="6" t="s">
        <v>9</v>
      </c>
      <c r="S2" s="6" t="s">
        <v>66</v>
      </c>
      <c r="T2" s="6" t="s">
        <v>16</v>
      </c>
      <c r="U2" s="6" t="s">
        <v>9</v>
      </c>
      <c r="V2" s="6" t="s">
        <v>67</v>
      </c>
      <c r="W2" s="6" t="s">
        <v>17</v>
      </c>
      <c r="X2" s="6" t="s">
        <v>9</v>
      </c>
      <c r="Y2" s="6" t="s">
        <v>68</v>
      </c>
      <c r="Z2" s="6" t="s">
        <v>18</v>
      </c>
      <c r="AA2" s="6" t="s">
        <v>9</v>
      </c>
      <c r="AB2" s="6" t="s">
        <v>69</v>
      </c>
      <c r="AC2" s="6" t="s">
        <v>70</v>
      </c>
      <c r="AD2" s="6" t="s">
        <v>9</v>
      </c>
      <c r="AE2" s="6" t="s">
        <v>71</v>
      </c>
      <c r="AF2" s="10" t="s">
        <v>19</v>
      </c>
      <c r="AG2" s="6" t="s">
        <v>9</v>
      </c>
      <c r="AH2" s="6" t="s">
        <v>72</v>
      </c>
      <c r="AI2" s="10" t="s">
        <v>20</v>
      </c>
      <c r="AJ2" s="6" t="s">
        <v>9</v>
      </c>
      <c r="AK2" s="6" t="s">
        <v>73</v>
      </c>
      <c r="AL2" s="10" t="s">
        <v>21</v>
      </c>
      <c r="AM2" s="6" t="s">
        <v>9</v>
      </c>
      <c r="AN2" s="6" t="s">
        <v>74</v>
      </c>
      <c r="AO2" s="10" t="s">
        <v>22</v>
      </c>
      <c r="AP2" s="6" t="s">
        <v>9</v>
      </c>
      <c r="AQ2" s="6" t="s">
        <v>75</v>
      </c>
      <c r="AR2" s="10" t="s">
        <v>23</v>
      </c>
      <c r="AS2" s="6" t="s">
        <v>9</v>
      </c>
      <c r="AT2" s="6" t="s">
        <v>76</v>
      </c>
      <c r="AU2" s="10" t="s">
        <v>24</v>
      </c>
      <c r="AV2" s="6" t="s">
        <v>9</v>
      </c>
      <c r="AW2" s="6" t="s">
        <v>77</v>
      </c>
      <c r="AX2" s="10" t="s">
        <v>25</v>
      </c>
      <c r="AY2" s="6" t="s">
        <v>9</v>
      </c>
      <c r="AZ2" s="6" t="s">
        <v>78</v>
      </c>
      <c r="BA2" s="10" t="s">
        <v>26</v>
      </c>
      <c r="BB2" s="6" t="s">
        <v>9</v>
      </c>
      <c r="BC2" s="6" t="s">
        <v>79</v>
      </c>
      <c r="BD2" s="10" t="s">
        <v>27</v>
      </c>
      <c r="BE2" s="6" t="s">
        <v>9</v>
      </c>
      <c r="BF2" s="6" t="s">
        <v>80</v>
      </c>
      <c r="BG2" s="10" t="s">
        <v>81</v>
      </c>
      <c r="BH2" s="6" t="s">
        <v>9</v>
      </c>
      <c r="BI2" s="6" t="s">
        <v>82</v>
      </c>
      <c r="BJ2" s="10" t="s">
        <v>3</v>
      </c>
      <c r="BK2" s="6" t="s">
        <v>9</v>
      </c>
      <c r="BL2" s="10" t="s">
        <v>28</v>
      </c>
      <c r="BM2" s="10" t="s">
        <v>29</v>
      </c>
      <c r="BN2" s="10" t="s">
        <v>30</v>
      </c>
      <c r="BO2" s="10" t="s">
        <v>31</v>
      </c>
      <c r="BP2" s="10" t="s">
        <v>32</v>
      </c>
      <c r="BQ2" s="10" t="s">
        <v>33</v>
      </c>
      <c r="BR2" s="10" t="s">
        <v>34</v>
      </c>
      <c r="BS2" s="10" t="s">
        <v>35</v>
      </c>
      <c r="BT2" s="10" t="s">
        <v>36</v>
      </c>
      <c r="BU2" s="10" t="s">
        <v>37</v>
      </c>
      <c r="BV2" s="10" t="s">
        <v>38</v>
      </c>
      <c r="BW2" s="10" t="s">
        <v>39</v>
      </c>
      <c r="BX2" s="10" t="s">
        <v>40</v>
      </c>
      <c r="BY2" s="10" t="s">
        <v>41</v>
      </c>
      <c r="BZ2" s="10" t="s">
        <v>84</v>
      </c>
      <c r="CA2" s="10" t="s">
        <v>6</v>
      </c>
      <c r="CB2" s="10" t="s">
        <v>42</v>
      </c>
      <c r="CC2" s="10" t="s">
        <v>7</v>
      </c>
      <c r="CD2" s="10" t="s">
        <v>43</v>
      </c>
      <c r="CE2" s="10" t="s">
        <v>44</v>
      </c>
      <c r="CF2" s="10" t="s">
        <v>45</v>
      </c>
      <c r="CG2" s="10" t="s">
        <v>46</v>
      </c>
      <c r="CH2" s="10" t="s">
        <v>47</v>
      </c>
      <c r="CI2" s="10" t="s">
        <v>48</v>
      </c>
      <c r="CJ2" s="10" t="s">
        <v>49</v>
      </c>
      <c r="CK2" s="10" t="s">
        <v>50</v>
      </c>
      <c r="CL2" s="10" t="s">
        <v>51</v>
      </c>
      <c r="CM2" s="10" t="s">
        <v>52</v>
      </c>
      <c r="CN2" s="10" t="s">
        <v>53</v>
      </c>
      <c r="CO2" s="10" t="s">
        <v>54</v>
      </c>
      <c r="CP2" s="10" t="s">
        <v>55</v>
      </c>
      <c r="CQ2" s="10" t="s">
        <v>85</v>
      </c>
      <c r="CR2" s="10" t="s">
        <v>86</v>
      </c>
      <c r="CS2" s="10" t="s">
        <v>87</v>
      </c>
      <c r="CT2" s="10" t="s">
        <v>88</v>
      </c>
      <c r="CU2" s="10" t="s">
        <v>89</v>
      </c>
      <c r="CV2" s="10" t="s">
        <v>90</v>
      </c>
      <c r="CW2" s="10" t="s">
        <v>91</v>
      </c>
      <c r="CX2" s="10" t="s">
        <v>92</v>
      </c>
      <c r="CY2" s="10" t="s">
        <v>93</v>
      </c>
      <c r="CZ2" s="10" t="s">
        <v>94</v>
      </c>
      <c r="DA2" s="10" t="s">
        <v>95</v>
      </c>
      <c r="DB2" s="10" t="s">
        <v>96</v>
      </c>
      <c r="DC2" s="10" t="s">
        <v>97</v>
      </c>
    </row>
    <row r="3" spans="1:108" x14ac:dyDescent="0.25">
      <c r="A3" t="s">
        <v>99</v>
      </c>
      <c r="B3" t="s">
        <v>100</v>
      </c>
      <c r="C3" t="s">
        <v>5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110</v>
      </c>
      <c r="N3" s="6" t="s">
        <v>111</v>
      </c>
      <c r="O3" s="6" t="s">
        <v>112</v>
      </c>
      <c r="P3" s="6" t="s">
        <v>113</v>
      </c>
      <c r="Q3" s="6" t="s">
        <v>114</v>
      </c>
      <c r="R3" t="s">
        <v>112</v>
      </c>
      <c r="S3" t="s">
        <v>115</v>
      </c>
      <c r="T3"/>
      <c r="U3"/>
      <c r="V3" t="s">
        <v>116</v>
      </c>
      <c r="W3"/>
      <c r="X3"/>
      <c r="Y3" t="s">
        <v>116</v>
      </c>
      <c r="Z3"/>
      <c r="AA3"/>
      <c r="AB3" t="s">
        <v>116</v>
      </c>
      <c r="AC3"/>
      <c r="AD3"/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123</v>
      </c>
      <c r="AM3" t="s">
        <v>124</v>
      </c>
      <c r="AN3" t="s">
        <v>125</v>
      </c>
      <c r="AO3"/>
      <c r="AP3"/>
      <c r="AQ3" t="s">
        <v>116</v>
      </c>
      <c r="AR3"/>
      <c r="AS3"/>
      <c r="AT3" t="s">
        <v>116</v>
      </c>
      <c r="AU3"/>
      <c r="AV3"/>
      <c r="AW3" t="s">
        <v>116</v>
      </c>
      <c r="AX3"/>
      <c r="AY3"/>
      <c r="AZ3" t="s">
        <v>116</v>
      </c>
      <c r="BA3"/>
      <c r="BB3"/>
      <c r="BC3" t="s">
        <v>116</v>
      </c>
      <c r="BD3"/>
      <c r="BE3"/>
      <c r="BF3" t="s">
        <v>116</v>
      </c>
      <c r="BG3"/>
      <c r="BH3"/>
      <c r="BI3" t="s">
        <v>116</v>
      </c>
      <c r="BJ3"/>
      <c r="BK3"/>
      <c r="BL3" s="8">
        <v>35510.14</v>
      </c>
      <c r="BM3" s="8">
        <v>20088.63</v>
      </c>
      <c r="BN3" s="8">
        <v>20088.63</v>
      </c>
      <c r="BO3" s="8">
        <v>0</v>
      </c>
      <c r="BP3" s="8">
        <v>-15421.51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t="s">
        <v>99</v>
      </c>
      <c r="BZ3" t="s">
        <v>126</v>
      </c>
      <c r="CA3" t="s">
        <v>127</v>
      </c>
      <c r="CB3" t="s">
        <v>128</v>
      </c>
      <c r="CC3" t="s">
        <v>129</v>
      </c>
      <c r="CD3" t="s">
        <v>130</v>
      </c>
      <c r="CE3" t="s">
        <v>131</v>
      </c>
      <c r="CF3" t="s">
        <v>132</v>
      </c>
      <c r="CG3" t="s">
        <v>133</v>
      </c>
      <c r="CH3" t="s">
        <v>134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</row>
    <row r="4" spans="1:108" x14ac:dyDescent="0.25">
      <c r="A4" t="s">
        <v>99</v>
      </c>
      <c r="B4" t="s">
        <v>100</v>
      </c>
      <c r="C4" t="s">
        <v>5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135</v>
      </c>
      <c r="O4" s="6" t="s">
        <v>112</v>
      </c>
      <c r="P4" s="6" t="s">
        <v>136</v>
      </c>
      <c r="Q4" s="6" t="s">
        <v>137</v>
      </c>
      <c r="R4" t="s">
        <v>112</v>
      </c>
      <c r="S4" t="s">
        <v>138</v>
      </c>
      <c r="T4"/>
      <c r="U4"/>
      <c r="V4" t="s">
        <v>116</v>
      </c>
      <c r="W4"/>
      <c r="X4"/>
      <c r="Y4" t="s">
        <v>116</v>
      </c>
      <c r="Z4"/>
      <c r="AA4"/>
      <c r="AB4" t="s">
        <v>116</v>
      </c>
      <c r="AC4"/>
      <c r="AD4"/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139</v>
      </c>
      <c r="AM4" t="s">
        <v>140</v>
      </c>
      <c r="AN4" t="s">
        <v>141</v>
      </c>
      <c r="AO4"/>
      <c r="AP4"/>
      <c r="AQ4" t="s">
        <v>116</v>
      </c>
      <c r="AR4"/>
      <c r="AS4"/>
      <c r="AT4" t="s">
        <v>116</v>
      </c>
      <c r="AU4"/>
      <c r="AV4"/>
      <c r="AW4" t="s">
        <v>116</v>
      </c>
      <c r="AX4"/>
      <c r="AY4"/>
      <c r="AZ4" t="s">
        <v>116</v>
      </c>
      <c r="BA4"/>
      <c r="BB4"/>
      <c r="BC4" t="s">
        <v>116</v>
      </c>
      <c r="BD4"/>
      <c r="BE4"/>
      <c r="BF4" t="s">
        <v>116</v>
      </c>
      <c r="BG4"/>
      <c r="BH4"/>
      <c r="BI4" t="s">
        <v>116</v>
      </c>
      <c r="BJ4"/>
      <c r="BK4"/>
      <c r="BL4" s="8">
        <v>24000</v>
      </c>
      <c r="BM4" s="8">
        <v>24000</v>
      </c>
      <c r="BN4" s="8">
        <v>24000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t="s">
        <v>99</v>
      </c>
      <c r="BZ4" t="s">
        <v>126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x14ac:dyDescent="0.25">
      <c r="A5" t="s">
        <v>99</v>
      </c>
      <c r="B5" t="s">
        <v>100</v>
      </c>
      <c r="C5" t="s">
        <v>5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s="6" t="s">
        <v>106</v>
      </c>
      <c r="J5" s="6" t="s">
        <v>107</v>
      </c>
      <c r="K5" s="6" t="s">
        <v>108</v>
      </c>
      <c r="L5" s="6" t="s">
        <v>109</v>
      </c>
      <c r="M5" s="6" t="s">
        <v>110</v>
      </c>
      <c r="N5" s="6" t="s">
        <v>142</v>
      </c>
      <c r="O5" s="6" t="s">
        <v>112</v>
      </c>
      <c r="P5" s="6" t="s">
        <v>143</v>
      </c>
      <c r="Q5" s="6" t="s">
        <v>144</v>
      </c>
      <c r="R5" t="s">
        <v>112</v>
      </c>
      <c r="S5" t="s">
        <v>145</v>
      </c>
      <c r="T5"/>
      <c r="U5"/>
      <c r="V5" t="s">
        <v>116</v>
      </c>
      <c r="W5"/>
      <c r="X5"/>
      <c r="Y5" t="s">
        <v>116</v>
      </c>
      <c r="Z5"/>
      <c r="AA5"/>
      <c r="AB5" t="s">
        <v>116</v>
      </c>
      <c r="AC5"/>
      <c r="AD5"/>
      <c r="AE5" t="s">
        <v>116</v>
      </c>
      <c r="AF5" t="s">
        <v>117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146</v>
      </c>
      <c r="AM5" t="s">
        <v>147</v>
      </c>
      <c r="AN5" t="s">
        <v>148</v>
      </c>
      <c r="AO5"/>
      <c r="AP5"/>
      <c r="AQ5" t="s">
        <v>116</v>
      </c>
      <c r="AR5"/>
      <c r="AS5"/>
      <c r="AT5" t="s">
        <v>116</v>
      </c>
      <c r="AU5"/>
      <c r="AV5"/>
      <c r="AW5" t="s">
        <v>116</v>
      </c>
      <c r="AX5"/>
      <c r="AY5"/>
      <c r="AZ5" t="s">
        <v>116</v>
      </c>
      <c r="BA5"/>
      <c r="BB5"/>
      <c r="BC5" t="s">
        <v>116</v>
      </c>
      <c r="BD5"/>
      <c r="BE5"/>
      <c r="BF5" t="s">
        <v>116</v>
      </c>
      <c r="BG5"/>
      <c r="BH5"/>
      <c r="BI5" t="s">
        <v>116</v>
      </c>
      <c r="BJ5"/>
      <c r="BK5"/>
      <c r="BL5" s="8">
        <v>5000</v>
      </c>
      <c r="BM5" s="8">
        <v>4708.2700000000004</v>
      </c>
      <c r="BN5" s="8">
        <v>4708.2700000000004</v>
      </c>
      <c r="BO5" s="8">
        <v>0</v>
      </c>
      <c r="BP5" s="8">
        <v>-291.73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t="s">
        <v>99</v>
      </c>
      <c r="BZ5" t="s">
        <v>126</v>
      </c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x14ac:dyDescent="0.25">
      <c r="A6" t="s">
        <v>99</v>
      </c>
      <c r="B6" t="s">
        <v>100</v>
      </c>
      <c r="C6" t="s">
        <v>5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s="6" t="s">
        <v>106</v>
      </c>
      <c r="J6" s="6" t="s">
        <v>107</v>
      </c>
      <c r="K6" s="6" t="s">
        <v>108</v>
      </c>
      <c r="L6" s="6" t="s">
        <v>109</v>
      </c>
      <c r="M6" s="6" t="s">
        <v>110</v>
      </c>
      <c r="N6" s="6" t="s">
        <v>149</v>
      </c>
      <c r="O6" s="6" t="s">
        <v>112</v>
      </c>
      <c r="P6" s="6" t="s">
        <v>150</v>
      </c>
      <c r="Q6" s="6" t="s">
        <v>151</v>
      </c>
      <c r="R6" t="s">
        <v>112</v>
      </c>
      <c r="S6" t="s">
        <v>152</v>
      </c>
      <c r="T6"/>
      <c r="U6"/>
      <c r="V6" t="s">
        <v>116</v>
      </c>
      <c r="W6"/>
      <c r="X6"/>
      <c r="Y6" t="s">
        <v>116</v>
      </c>
      <c r="Z6"/>
      <c r="AA6"/>
      <c r="AB6" t="s">
        <v>116</v>
      </c>
      <c r="AC6"/>
      <c r="AD6"/>
      <c r="AE6" t="s">
        <v>116</v>
      </c>
      <c r="AF6" t="s">
        <v>117</v>
      </c>
      <c r="AG6" t="s">
        <v>118</v>
      </c>
      <c r="AH6" t="s">
        <v>119</v>
      </c>
      <c r="AI6" t="s">
        <v>120</v>
      </c>
      <c r="AJ6" t="s">
        <v>121</v>
      </c>
      <c r="AK6" t="s">
        <v>122</v>
      </c>
      <c r="AL6" t="s">
        <v>146</v>
      </c>
      <c r="AM6" t="s">
        <v>147</v>
      </c>
      <c r="AN6" t="s">
        <v>148</v>
      </c>
      <c r="AO6"/>
      <c r="AP6"/>
      <c r="AQ6" t="s">
        <v>116</v>
      </c>
      <c r="AR6"/>
      <c r="AS6"/>
      <c r="AT6" t="s">
        <v>116</v>
      </c>
      <c r="AU6"/>
      <c r="AV6"/>
      <c r="AW6" t="s">
        <v>116</v>
      </c>
      <c r="AX6"/>
      <c r="AY6"/>
      <c r="AZ6" t="s">
        <v>116</v>
      </c>
      <c r="BA6"/>
      <c r="BB6"/>
      <c r="BC6" t="s">
        <v>116</v>
      </c>
      <c r="BD6"/>
      <c r="BE6"/>
      <c r="BF6" t="s">
        <v>116</v>
      </c>
      <c r="BG6"/>
      <c r="BH6"/>
      <c r="BI6" t="s">
        <v>116</v>
      </c>
      <c r="BJ6"/>
      <c r="BK6"/>
      <c r="BL6" s="8">
        <v>31371.18</v>
      </c>
      <c r="BM6" s="8">
        <v>28547</v>
      </c>
      <c r="BN6" s="8">
        <v>28547</v>
      </c>
      <c r="BO6" s="8">
        <v>0</v>
      </c>
      <c r="BP6" s="8">
        <v>-2824.18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t="s">
        <v>99</v>
      </c>
      <c r="BZ6" t="s">
        <v>126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x14ac:dyDescent="0.25">
      <c r="A7" t="s">
        <v>99</v>
      </c>
      <c r="B7" t="s">
        <v>100</v>
      </c>
      <c r="C7" t="s">
        <v>5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I7" s="6" t="s">
        <v>106</v>
      </c>
      <c r="J7" s="6" t="s">
        <v>107</v>
      </c>
      <c r="K7" s="6" t="s">
        <v>108</v>
      </c>
      <c r="L7" s="6" t="s">
        <v>109</v>
      </c>
      <c r="M7" s="6" t="s">
        <v>110</v>
      </c>
      <c r="N7" s="6" t="s">
        <v>153</v>
      </c>
      <c r="O7" s="6" t="s">
        <v>112</v>
      </c>
      <c r="P7" s="6" t="s">
        <v>154</v>
      </c>
      <c r="Q7" s="6" t="s">
        <v>155</v>
      </c>
      <c r="R7" t="s">
        <v>112</v>
      </c>
      <c r="S7" t="s">
        <v>156</v>
      </c>
      <c r="T7"/>
      <c r="U7"/>
      <c r="V7" t="s">
        <v>116</v>
      </c>
      <c r="W7"/>
      <c r="X7"/>
      <c r="Y7" t="s">
        <v>116</v>
      </c>
      <c r="Z7"/>
      <c r="AA7"/>
      <c r="AB7" t="s">
        <v>116</v>
      </c>
      <c r="AC7"/>
      <c r="AD7"/>
      <c r="AE7" t="s">
        <v>116</v>
      </c>
      <c r="AF7" t="s">
        <v>117</v>
      </c>
      <c r="AG7" t="s">
        <v>118</v>
      </c>
      <c r="AH7" t="s">
        <v>119</v>
      </c>
      <c r="AI7" t="s">
        <v>120</v>
      </c>
      <c r="AJ7" t="s">
        <v>121</v>
      </c>
      <c r="AK7" t="s">
        <v>122</v>
      </c>
      <c r="AL7" t="s">
        <v>157</v>
      </c>
      <c r="AM7" t="s">
        <v>158</v>
      </c>
      <c r="AN7" t="s">
        <v>159</v>
      </c>
      <c r="AO7"/>
      <c r="AP7"/>
      <c r="AQ7" t="s">
        <v>116</v>
      </c>
      <c r="AR7"/>
      <c r="AS7"/>
      <c r="AT7" t="s">
        <v>116</v>
      </c>
      <c r="AU7"/>
      <c r="AV7"/>
      <c r="AW7" t="s">
        <v>116</v>
      </c>
      <c r="AX7"/>
      <c r="AY7"/>
      <c r="AZ7" t="s">
        <v>116</v>
      </c>
      <c r="BA7"/>
      <c r="BB7"/>
      <c r="BC7" t="s">
        <v>116</v>
      </c>
      <c r="BD7"/>
      <c r="BE7"/>
      <c r="BF7" t="s">
        <v>116</v>
      </c>
      <c r="BG7"/>
      <c r="BH7"/>
      <c r="BI7" t="s">
        <v>116</v>
      </c>
      <c r="BJ7"/>
      <c r="BK7"/>
      <c r="BL7" s="8">
        <v>1500</v>
      </c>
      <c r="BM7" s="8">
        <v>2114</v>
      </c>
      <c r="BN7" s="8">
        <v>2114</v>
      </c>
      <c r="BO7" s="8">
        <v>0</v>
      </c>
      <c r="BP7" s="8">
        <v>614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t="s">
        <v>99</v>
      </c>
      <c r="BZ7" t="s">
        <v>126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x14ac:dyDescent="0.25">
      <c r="A8" t="s">
        <v>99</v>
      </c>
      <c r="B8" t="s">
        <v>100</v>
      </c>
      <c r="C8" t="s">
        <v>5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s="6" t="s">
        <v>106</v>
      </c>
      <c r="J8" s="6" t="s">
        <v>107</v>
      </c>
      <c r="K8" s="6" t="s">
        <v>108</v>
      </c>
      <c r="L8" s="6" t="s">
        <v>109</v>
      </c>
      <c r="M8" s="6" t="s">
        <v>110</v>
      </c>
      <c r="N8" s="6" t="s">
        <v>153</v>
      </c>
      <c r="O8" s="6" t="s">
        <v>112</v>
      </c>
      <c r="P8" s="6" t="s">
        <v>154</v>
      </c>
      <c r="Q8" s="6" t="s">
        <v>160</v>
      </c>
      <c r="R8" t="s">
        <v>112</v>
      </c>
      <c r="S8" t="s">
        <v>161</v>
      </c>
      <c r="T8"/>
      <c r="U8"/>
      <c r="V8" t="s">
        <v>116</v>
      </c>
      <c r="W8"/>
      <c r="X8"/>
      <c r="Y8" t="s">
        <v>116</v>
      </c>
      <c r="Z8"/>
      <c r="AA8"/>
      <c r="AB8" t="s">
        <v>116</v>
      </c>
      <c r="AC8"/>
      <c r="AD8"/>
      <c r="AE8" t="s">
        <v>116</v>
      </c>
      <c r="AF8" t="s">
        <v>117</v>
      </c>
      <c r="AG8" t="s">
        <v>118</v>
      </c>
      <c r="AH8" t="s">
        <v>119</v>
      </c>
      <c r="AI8" t="s">
        <v>120</v>
      </c>
      <c r="AJ8" t="s">
        <v>121</v>
      </c>
      <c r="AK8" t="s">
        <v>122</v>
      </c>
      <c r="AL8" t="s">
        <v>162</v>
      </c>
      <c r="AM8" t="s">
        <v>163</v>
      </c>
      <c r="AN8" t="s">
        <v>164</v>
      </c>
      <c r="AO8"/>
      <c r="AP8"/>
      <c r="AQ8" t="s">
        <v>116</v>
      </c>
      <c r="AR8"/>
      <c r="AS8"/>
      <c r="AT8" t="s">
        <v>116</v>
      </c>
      <c r="AU8"/>
      <c r="AV8"/>
      <c r="AW8" t="s">
        <v>116</v>
      </c>
      <c r="AX8"/>
      <c r="AY8"/>
      <c r="AZ8" t="s">
        <v>116</v>
      </c>
      <c r="BA8"/>
      <c r="BB8"/>
      <c r="BC8" t="s">
        <v>116</v>
      </c>
      <c r="BD8"/>
      <c r="BE8"/>
      <c r="BF8" t="s">
        <v>116</v>
      </c>
      <c r="BG8"/>
      <c r="BH8"/>
      <c r="BI8" t="s">
        <v>116</v>
      </c>
      <c r="BJ8"/>
      <c r="BK8"/>
      <c r="BL8" s="8">
        <v>500</v>
      </c>
      <c r="BM8" s="8">
        <v>0</v>
      </c>
      <c r="BN8" s="8">
        <v>0</v>
      </c>
      <c r="BO8" s="8">
        <v>0</v>
      </c>
      <c r="BP8" s="8">
        <v>-500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t="s">
        <v>99</v>
      </c>
      <c r="BZ8" t="s">
        <v>126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25">
      <c r="A9" t="s">
        <v>99</v>
      </c>
      <c r="B9" t="s">
        <v>100</v>
      </c>
      <c r="C9" t="s">
        <v>5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s="6" t="s">
        <v>106</v>
      </c>
      <c r="J9" s="6" t="s">
        <v>107</v>
      </c>
      <c r="K9" s="6" t="s">
        <v>108</v>
      </c>
      <c r="L9" s="6" t="s">
        <v>109</v>
      </c>
      <c r="M9" s="6" t="s">
        <v>110</v>
      </c>
      <c r="N9" s="6" t="s">
        <v>153</v>
      </c>
      <c r="O9" s="6" t="s">
        <v>112</v>
      </c>
      <c r="P9" s="6" t="s">
        <v>154</v>
      </c>
      <c r="Q9" s="6" t="s">
        <v>160</v>
      </c>
      <c r="R9" t="s">
        <v>112</v>
      </c>
      <c r="S9" t="s">
        <v>161</v>
      </c>
      <c r="T9"/>
      <c r="U9"/>
      <c r="V9" t="s">
        <v>116</v>
      </c>
      <c r="W9"/>
      <c r="X9"/>
      <c r="Y9" t="s">
        <v>116</v>
      </c>
      <c r="Z9"/>
      <c r="AA9"/>
      <c r="AB9" t="s">
        <v>116</v>
      </c>
      <c r="AC9"/>
      <c r="AD9"/>
      <c r="AE9" t="s">
        <v>116</v>
      </c>
      <c r="AF9" t="s">
        <v>117</v>
      </c>
      <c r="AG9" t="s">
        <v>118</v>
      </c>
      <c r="AH9" t="s">
        <v>119</v>
      </c>
      <c r="AI9" t="s">
        <v>120</v>
      </c>
      <c r="AJ9" t="s">
        <v>121</v>
      </c>
      <c r="AK9" t="s">
        <v>122</v>
      </c>
      <c r="AL9" t="s">
        <v>165</v>
      </c>
      <c r="AM9" t="s">
        <v>166</v>
      </c>
      <c r="AN9" t="s">
        <v>167</v>
      </c>
      <c r="AO9"/>
      <c r="AP9"/>
      <c r="AQ9" t="s">
        <v>116</v>
      </c>
      <c r="AR9"/>
      <c r="AS9"/>
      <c r="AT9" t="s">
        <v>116</v>
      </c>
      <c r="AU9"/>
      <c r="AV9"/>
      <c r="AW9" t="s">
        <v>116</v>
      </c>
      <c r="AX9"/>
      <c r="AY9"/>
      <c r="AZ9" t="s">
        <v>116</v>
      </c>
      <c r="BA9"/>
      <c r="BB9"/>
      <c r="BC9" t="s">
        <v>116</v>
      </c>
      <c r="BD9"/>
      <c r="BE9"/>
      <c r="BF9" t="s">
        <v>116</v>
      </c>
      <c r="BG9"/>
      <c r="BH9"/>
      <c r="BI9" t="s">
        <v>116</v>
      </c>
      <c r="BJ9"/>
      <c r="BK9"/>
      <c r="BL9" s="8">
        <v>0</v>
      </c>
      <c r="BM9" s="8">
        <v>486</v>
      </c>
      <c r="BN9" s="8">
        <v>486</v>
      </c>
      <c r="BO9" s="8">
        <v>0</v>
      </c>
      <c r="BP9" s="8">
        <v>486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t="s">
        <v>99</v>
      </c>
      <c r="BZ9" t="s">
        <v>126</v>
      </c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spans="1:108" x14ac:dyDescent="0.25">
      <c r="A10" t="s">
        <v>99</v>
      </c>
      <c r="B10" t="s">
        <v>100</v>
      </c>
      <c r="C10" t="s">
        <v>5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s="6" t="s">
        <v>106</v>
      </c>
      <c r="J10" s="6" t="s">
        <v>107</v>
      </c>
      <c r="K10" s="6" t="s">
        <v>108</v>
      </c>
      <c r="L10" s="6" t="s">
        <v>109</v>
      </c>
      <c r="M10" s="6" t="s">
        <v>110</v>
      </c>
      <c r="N10" s="6" t="s">
        <v>168</v>
      </c>
      <c r="O10" s="6" t="s">
        <v>112</v>
      </c>
      <c r="P10" s="6" t="s">
        <v>169</v>
      </c>
      <c r="Q10" s="6" t="s">
        <v>170</v>
      </c>
      <c r="R10" t="s">
        <v>112</v>
      </c>
      <c r="S10" t="s">
        <v>171</v>
      </c>
      <c r="T10"/>
      <c r="U10"/>
      <c r="V10" t="s">
        <v>116</v>
      </c>
      <c r="W10"/>
      <c r="X10"/>
      <c r="Y10" t="s">
        <v>116</v>
      </c>
      <c r="Z10"/>
      <c r="AA10"/>
      <c r="AB10" t="s">
        <v>116</v>
      </c>
      <c r="AC10"/>
      <c r="AD10"/>
      <c r="AE10" t="s">
        <v>116</v>
      </c>
      <c r="AF10" t="s">
        <v>117</v>
      </c>
      <c r="AG10" t="s">
        <v>118</v>
      </c>
      <c r="AH10" t="s">
        <v>119</v>
      </c>
      <c r="AI10" t="s">
        <v>120</v>
      </c>
      <c r="AJ10" t="s">
        <v>121</v>
      </c>
      <c r="AK10" t="s">
        <v>122</v>
      </c>
      <c r="AL10" t="s">
        <v>172</v>
      </c>
      <c r="AM10" t="s">
        <v>173</v>
      </c>
      <c r="AN10" t="s">
        <v>174</v>
      </c>
      <c r="AO10"/>
      <c r="AP10"/>
      <c r="AQ10" t="s">
        <v>116</v>
      </c>
      <c r="AR10"/>
      <c r="AS10"/>
      <c r="AT10" t="s">
        <v>116</v>
      </c>
      <c r="AU10"/>
      <c r="AV10"/>
      <c r="AW10" t="s">
        <v>116</v>
      </c>
      <c r="AX10"/>
      <c r="AY10"/>
      <c r="AZ10" t="s">
        <v>116</v>
      </c>
      <c r="BA10"/>
      <c r="BB10"/>
      <c r="BC10" t="s">
        <v>116</v>
      </c>
      <c r="BD10"/>
      <c r="BE10"/>
      <c r="BF10" t="s">
        <v>116</v>
      </c>
      <c r="BG10"/>
      <c r="BH10"/>
      <c r="BI10" t="s">
        <v>116</v>
      </c>
      <c r="BJ10"/>
      <c r="BK10"/>
      <c r="BL10" s="8">
        <v>10742.01</v>
      </c>
      <c r="BM10" s="8">
        <v>3590.7</v>
      </c>
      <c r="BN10" s="8">
        <v>3590.7</v>
      </c>
      <c r="BO10" s="8">
        <v>0</v>
      </c>
      <c r="BP10" s="8">
        <v>-7151.31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t="s">
        <v>99</v>
      </c>
      <c r="BZ10" t="s">
        <v>126</v>
      </c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spans="1:108" x14ac:dyDescent="0.25">
      <c r="A11" t="s">
        <v>99</v>
      </c>
      <c r="B11" t="s">
        <v>100</v>
      </c>
      <c r="C11" t="s">
        <v>5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s="6" t="s">
        <v>106</v>
      </c>
      <c r="J11" s="6" t="s">
        <v>107</v>
      </c>
      <c r="K11" s="6" t="s">
        <v>108</v>
      </c>
      <c r="L11" s="6" t="s">
        <v>109</v>
      </c>
      <c r="M11" s="6" t="s">
        <v>110</v>
      </c>
      <c r="N11" s="6" t="s">
        <v>168</v>
      </c>
      <c r="O11" s="6" t="s">
        <v>112</v>
      </c>
      <c r="P11" s="6" t="s">
        <v>169</v>
      </c>
      <c r="Q11" s="6" t="s">
        <v>175</v>
      </c>
      <c r="R11" t="s">
        <v>112</v>
      </c>
      <c r="S11" t="s">
        <v>176</v>
      </c>
      <c r="T11"/>
      <c r="U11"/>
      <c r="V11" t="s">
        <v>116</v>
      </c>
      <c r="W11"/>
      <c r="X11"/>
      <c r="Y11" t="s">
        <v>116</v>
      </c>
      <c r="Z11"/>
      <c r="AA11"/>
      <c r="AB11" t="s">
        <v>116</v>
      </c>
      <c r="AC11"/>
      <c r="AD11"/>
      <c r="AE11" t="s">
        <v>116</v>
      </c>
      <c r="AF11" t="s">
        <v>117</v>
      </c>
      <c r="AG11" t="s">
        <v>118</v>
      </c>
      <c r="AH11" t="s">
        <v>119</v>
      </c>
      <c r="AI11" t="s">
        <v>120</v>
      </c>
      <c r="AJ11" t="s">
        <v>121</v>
      </c>
      <c r="AK11" t="s">
        <v>122</v>
      </c>
      <c r="AL11" t="s">
        <v>123</v>
      </c>
      <c r="AM11" t="s">
        <v>124</v>
      </c>
      <c r="AN11" t="s">
        <v>125</v>
      </c>
      <c r="AO11"/>
      <c r="AP11"/>
      <c r="AQ11" t="s">
        <v>116</v>
      </c>
      <c r="AR11"/>
      <c r="AS11"/>
      <c r="AT11" t="s">
        <v>116</v>
      </c>
      <c r="AU11"/>
      <c r="AV11"/>
      <c r="AW11" t="s">
        <v>116</v>
      </c>
      <c r="AX11"/>
      <c r="AY11"/>
      <c r="AZ11" t="s">
        <v>116</v>
      </c>
      <c r="BA11"/>
      <c r="BB11"/>
      <c r="BC11" t="s">
        <v>116</v>
      </c>
      <c r="BD11"/>
      <c r="BE11"/>
      <c r="BF11" t="s">
        <v>116</v>
      </c>
      <c r="BG11"/>
      <c r="BH11"/>
      <c r="BI11" t="s">
        <v>116</v>
      </c>
      <c r="BJ11"/>
      <c r="BK11"/>
      <c r="BL11" s="8">
        <v>46.31</v>
      </c>
      <c r="BM11" s="8">
        <v>0</v>
      </c>
      <c r="BN11" s="8">
        <v>0</v>
      </c>
      <c r="BO11" s="8">
        <v>0</v>
      </c>
      <c r="BP11" s="8">
        <v>-46.31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t="s">
        <v>99</v>
      </c>
      <c r="BZ11" t="s">
        <v>126</v>
      </c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spans="1:108" x14ac:dyDescent="0.25">
      <c r="A12" t="s">
        <v>99</v>
      </c>
      <c r="B12" t="s">
        <v>100</v>
      </c>
      <c r="C12" t="s">
        <v>5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s="6" t="s">
        <v>106</v>
      </c>
      <c r="J12" s="6" t="s">
        <v>107</v>
      </c>
      <c r="K12" s="6" t="s">
        <v>108</v>
      </c>
      <c r="L12" s="6" t="s">
        <v>109</v>
      </c>
      <c r="M12" s="6" t="s">
        <v>110</v>
      </c>
      <c r="N12" s="6" t="s">
        <v>168</v>
      </c>
      <c r="O12" s="6" t="s">
        <v>112</v>
      </c>
      <c r="P12" s="6" t="s">
        <v>169</v>
      </c>
      <c r="Q12" s="6" t="s">
        <v>177</v>
      </c>
      <c r="R12" t="s">
        <v>112</v>
      </c>
      <c r="S12" t="s">
        <v>178</v>
      </c>
      <c r="T12"/>
      <c r="U12"/>
      <c r="V12" t="s">
        <v>116</v>
      </c>
      <c r="W12"/>
      <c r="X12"/>
      <c r="Y12" t="s">
        <v>116</v>
      </c>
      <c r="Z12"/>
      <c r="AA12"/>
      <c r="AB12" t="s">
        <v>116</v>
      </c>
      <c r="AC12"/>
      <c r="AD12"/>
      <c r="AE12" t="s">
        <v>116</v>
      </c>
      <c r="AF12" t="s">
        <v>117</v>
      </c>
      <c r="AG12" t="s">
        <v>118</v>
      </c>
      <c r="AH12" t="s">
        <v>119</v>
      </c>
      <c r="AI12" t="s">
        <v>120</v>
      </c>
      <c r="AJ12" t="s">
        <v>121</v>
      </c>
      <c r="AK12" t="s">
        <v>122</v>
      </c>
      <c r="AL12" t="s">
        <v>146</v>
      </c>
      <c r="AM12" t="s">
        <v>147</v>
      </c>
      <c r="AN12" t="s">
        <v>148</v>
      </c>
      <c r="AO12"/>
      <c r="AP12"/>
      <c r="AQ12" t="s">
        <v>116</v>
      </c>
      <c r="AR12"/>
      <c r="AS12"/>
      <c r="AT12" t="s">
        <v>116</v>
      </c>
      <c r="AU12"/>
      <c r="AV12"/>
      <c r="AW12" t="s">
        <v>116</v>
      </c>
      <c r="AX12"/>
      <c r="AY12"/>
      <c r="AZ12" t="s">
        <v>116</v>
      </c>
      <c r="BA12"/>
      <c r="BB12"/>
      <c r="BC12" t="s">
        <v>116</v>
      </c>
      <c r="BD12"/>
      <c r="BE12"/>
      <c r="BF12" t="s">
        <v>116</v>
      </c>
      <c r="BG12"/>
      <c r="BH12"/>
      <c r="BI12" t="s">
        <v>116</v>
      </c>
      <c r="BJ12"/>
      <c r="BK12"/>
      <c r="BL12" s="8">
        <v>834.05</v>
      </c>
      <c r="BM12" s="8">
        <v>0</v>
      </c>
      <c r="BN12" s="8">
        <v>0</v>
      </c>
      <c r="BO12" s="8">
        <v>0</v>
      </c>
      <c r="BP12" s="8">
        <v>-834.05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t="s">
        <v>99</v>
      </c>
      <c r="BZ12" t="s">
        <v>126</v>
      </c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x14ac:dyDescent="0.25">
      <c r="A13" t="s">
        <v>99</v>
      </c>
      <c r="B13" t="s">
        <v>100</v>
      </c>
      <c r="C13" t="s">
        <v>5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s="6" t="s">
        <v>106</v>
      </c>
      <c r="J13" s="6" t="s">
        <v>107</v>
      </c>
      <c r="K13" s="6" t="s">
        <v>108</v>
      </c>
      <c r="L13" s="6" t="s">
        <v>109</v>
      </c>
      <c r="M13" s="6" t="s">
        <v>110</v>
      </c>
      <c r="N13" s="6" t="s">
        <v>168</v>
      </c>
      <c r="O13" s="6" t="s">
        <v>112</v>
      </c>
      <c r="P13" s="6" t="s">
        <v>169</v>
      </c>
      <c r="Q13" s="6" t="s">
        <v>179</v>
      </c>
      <c r="R13" t="s">
        <v>112</v>
      </c>
      <c r="S13" t="s">
        <v>180</v>
      </c>
      <c r="T13"/>
      <c r="U13"/>
      <c r="V13" t="s">
        <v>116</v>
      </c>
      <c r="W13"/>
      <c r="X13"/>
      <c r="Y13" t="s">
        <v>116</v>
      </c>
      <c r="Z13"/>
      <c r="AA13"/>
      <c r="AB13" t="s">
        <v>116</v>
      </c>
      <c r="AC13"/>
      <c r="AD13"/>
      <c r="AE13" t="s">
        <v>116</v>
      </c>
      <c r="AF13" t="s">
        <v>117</v>
      </c>
      <c r="AG13" t="s">
        <v>118</v>
      </c>
      <c r="AH13" t="s">
        <v>119</v>
      </c>
      <c r="AI13" t="s">
        <v>120</v>
      </c>
      <c r="AJ13" t="s">
        <v>121</v>
      </c>
      <c r="AK13" t="s">
        <v>122</v>
      </c>
      <c r="AL13" t="s">
        <v>146</v>
      </c>
      <c r="AM13" t="s">
        <v>147</v>
      </c>
      <c r="AN13" t="s">
        <v>148</v>
      </c>
      <c r="AO13"/>
      <c r="AP13"/>
      <c r="AQ13" t="s">
        <v>116</v>
      </c>
      <c r="AR13"/>
      <c r="AS13"/>
      <c r="AT13" t="s">
        <v>116</v>
      </c>
      <c r="AU13"/>
      <c r="AV13"/>
      <c r="AW13" t="s">
        <v>116</v>
      </c>
      <c r="AX13"/>
      <c r="AY13"/>
      <c r="AZ13" t="s">
        <v>116</v>
      </c>
      <c r="BA13"/>
      <c r="BB13"/>
      <c r="BC13" t="s">
        <v>116</v>
      </c>
      <c r="BD13"/>
      <c r="BE13"/>
      <c r="BF13" t="s">
        <v>116</v>
      </c>
      <c r="BG13"/>
      <c r="BH13"/>
      <c r="BI13" t="s">
        <v>116</v>
      </c>
      <c r="BJ13"/>
      <c r="BK13"/>
      <c r="BL13" s="8">
        <v>884.98</v>
      </c>
      <c r="BM13" s="8">
        <v>0</v>
      </c>
      <c r="BN13" s="8">
        <v>0</v>
      </c>
      <c r="BO13" s="8">
        <v>0</v>
      </c>
      <c r="BP13" s="8">
        <v>-884.98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t="s">
        <v>99</v>
      </c>
      <c r="BZ13" t="s">
        <v>126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spans="1:108" x14ac:dyDescent="0.25">
      <c r="A14" t="s">
        <v>99</v>
      </c>
      <c r="B14" t="s">
        <v>100</v>
      </c>
      <c r="C14" t="s">
        <v>5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s="6" t="s">
        <v>106</v>
      </c>
      <c r="J14" s="6" t="s">
        <v>107</v>
      </c>
      <c r="K14" s="6" t="s">
        <v>108</v>
      </c>
      <c r="L14" s="6" t="s">
        <v>109</v>
      </c>
      <c r="M14" s="6" t="s">
        <v>110</v>
      </c>
      <c r="N14" s="6" t="s">
        <v>168</v>
      </c>
      <c r="O14" s="6" t="s">
        <v>112</v>
      </c>
      <c r="P14" s="6" t="s">
        <v>169</v>
      </c>
      <c r="Q14" s="6" t="s">
        <v>181</v>
      </c>
      <c r="R14" t="s">
        <v>112</v>
      </c>
      <c r="S14" t="s">
        <v>182</v>
      </c>
      <c r="T14"/>
      <c r="U14"/>
      <c r="V14" t="s">
        <v>116</v>
      </c>
      <c r="W14"/>
      <c r="X14"/>
      <c r="Y14" t="s">
        <v>116</v>
      </c>
      <c r="Z14"/>
      <c r="AA14"/>
      <c r="AB14" t="s">
        <v>116</v>
      </c>
      <c r="AC14"/>
      <c r="AD14"/>
      <c r="AE14" t="s">
        <v>116</v>
      </c>
      <c r="AF14" t="s">
        <v>117</v>
      </c>
      <c r="AG14" t="s">
        <v>118</v>
      </c>
      <c r="AH14" t="s">
        <v>119</v>
      </c>
      <c r="AI14" t="s">
        <v>120</v>
      </c>
      <c r="AJ14" t="s">
        <v>121</v>
      </c>
      <c r="AK14" t="s">
        <v>122</v>
      </c>
      <c r="AL14" t="s">
        <v>146</v>
      </c>
      <c r="AM14" t="s">
        <v>147</v>
      </c>
      <c r="AN14" t="s">
        <v>148</v>
      </c>
      <c r="AO14"/>
      <c r="AP14"/>
      <c r="AQ14" t="s">
        <v>116</v>
      </c>
      <c r="AR14"/>
      <c r="AS14"/>
      <c r="AT14" t="s">
        <v>116</v>
      </c>
      <c r="AU14"/>
      <c r="AV14"/>
      <c r="AW14" t="s">
        <v>116</v>
      </c>
      <c r="AX14"/>
      <c r="AY14"/>
      <c r="AZ14" t="s">
        <v>116</v>
      </c>
      <c r="BA14"/>
      <c r="BB14"/>
      <c r="BC14" t="s">
        <v>116</v>
      </c>
      <c r="BD14"/>
      <c r="BE14"/>
      <c r="BF14" t="s">
        <v>116</v>
      </c>
      <c r="BG14"/>
      <c r="BH14"/>
      <c r="BI14" t="s">
        <v>116</v>
      </c>
      <c r="BJ14"/>
      <c r="BK14"/>
      <c r="BL14" s="8">
        <v>183.13</v>
      </c>
      <c r="BM14" s="8">
        <v>0</v>
      </c>
      <c r="BN14" s="8">
        <v>0</v>
      </c>
      <c r="BO14" s="8">
        <v>0</v>
      </c>
      <c r="BP14" s="8">
        <v>-183.13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t="s">
        <v>99</v>
      </c>
      <c r="BZ14" t="s">
        <v>126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spans="1:108" x14ac:dyDescent="0.25">
      <c r="A15" t="s">
        <v>99</v>
      </c>
      <c r="B15" t="s">
        <v>100</v>
      </c>
      <c r="C15" t="s">
        <v>5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s="6" t="s">
        <v>106</v>
      </c>
      <c r="J15" s="6" t="s">
        <v>107</v>
      </c>
      <c r="K15" s="6" t="s">
        <v>108</v>
      </c>
      <c r="L15" s="6" t="s">
        <v>109</v>
      </c>
      <c r="M15" s="6" t="s">
        <v>110</v>
      </c>
      <c r="N15" s="6" t="s">
        <v>183</v>
      </c>
      <c r="O15" s="6" t="s">
        <v>112</v>
      </c>
      <c r="P15" s="6" t="s">
        <v>184</v>
      </c>
      <c r="Q15" s="6" t="s">
        <v>185</v>
      </c>
      <c r="R15" t="s">
        <v>112</v>
      </c>
      <c r="S15" t="s">
        <v>186</v>
      </c>
      <c r="T15"/>
      <c r="U15"/>
      <c r="V15" t="s">
        <v>116</v>
      </c>
      <c r="W15"/>
      <c r="X15"/>
      <c r="Y15" t="s">
        <v>116</v>
      </c>
      <c r="Z15"/>
      <c r="AA15"/>
      <c r="AB15" t="s">
        <v>116</v>
      </c>
      <c r="AC15"/>
      <c r="AD15"/>
      <c r="AE15" t="s">
        <v>116</v>
      </c>
      <c r="AF15" t="s">
        <v>117</v>
      </c>
      <c r="AG15" t="s">
        <v>118</v>
      </c>
      <c r="AH15" t="s">
        <v>119</v>
      </c>
      <c r="AI15" t="s">
        <v>120</v>
      </c>
      <c r="AJ15" t="s">
        <v>121</v>
      </c>
      <c r="AK15" t="s">
        <v>122</v>
      </c>
      <c r="AL15" t="s">
        <v>187</v>
      </c>
      <c r="AM15" t="s">
        <v>188</v>
      </c>
      <c r="AN15" t="s">
        <v>189</v>
      </c>
      <c r="AO15"/>
      <c r="AP15"/>
      <c r="AQ15" t="s">
        <v>116</v>
      </c>
      <c r="AR15"/>
      <c r="AS15"/>
      <c r="AT15" t="s">
        <v>116</v>
      </c>
      <c r="AU15"/>
      <c r="AV15"/>
      <c r="AW15" t="s">
        <v>116</v>
      </c>
      <c r="AX15"/>
      <c r="AY15"/>
      <c r="AZ15" t="s">
        <v>116</v>
      </c>
      <c r="BA15"/>
      <c r="BB15"/>
      <c r="BC15" t="s">
        <v>116</v>
      </c>
      <c r="BD15"/>
      <c r="BE15"/>
      <c r="BF15" t="s">
        <v>116</v>
      </c>
      <c r="BG15"/>
      <c r="BH15"/>
      <c r="BI15" t="s">
        <v>116</v>
      </c>
      <c r="BJ15"/>
      <c r="BK15"/>
      <c r="BL15" s="8">
        <v>4000</v>
      </c>
      <c r="BM15" s="8">
        <v>3680.66</v>
      </c>
      <c r="BN15" s="8">
        <v>3680.66</v>
      </c>
      <c r="BO15" s="8">
        <v>0</v>
      </c>
      <c r="BP15" s="8">
        <v>-319.33999999999997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t="s">
        <v>99</v>
      </c>
      <c r="BZ15" t="s">
        <v>126</v>
      </c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x14ac:dyDescent="0.25">
      <c r="A16" t="s">
        <v>99</v>
      </c>
      <c r="B16" t="s">
        <v>100</v>
      </c>
      <c r="C16" t="s">
        <v>5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s="6" t="s">
        <v>106</v>
      </c>
      <c r="J16" s="6" t="s">
        <v>107</v>
      </c>
      <c r="K16" s="6" t="s">
        <v>108</v>
      </c>
      <c r="L16" s="6" t="s">
        <v>109</v>
      </c>
      <c r="M16" s="6" t="s">
        <v>110</v>
      </c>
      <c r="N16" s="6" t="s">
        <v>190</v>
      </c>
      <c r="O16" s="6" t="s">
        <v>112</v>
      </c>
      <c r="P16" s="6" t="s">
        <v>191</v>
      </c>
      <c r="Q16" s="6" t="s">
        <v>192</v>
      </c>
      <c r="R16" t="s">
        <v>112</v>
      </c>
      <c r="S16" t="s">
        <v>193</v>
      </c>
      <c r="T16"/>
      <c r="U16"/>
      <c r="V16" t="s">
        <v>116</v>
      </c>
      <c r="W16"/>
      <c r="X16"/>
      <c r="Y16" t="s">
        <v>116</v>
      </c>
      <c r="Z16"/>
      <c r="AA16"/>
      <c r="AB16" t="s">
        <v>116</v>
      </c>
      <c r="AC16"/>
      <c r="AD16"/>
      <c r="AE16" t="s">
        <v>116</v>
      </c>
      <c r="AF16" t="s">
        <v>117</v>
      </c>
      <c r="AG16" t="s">
        <v>118</v>
      </c>
      <c r="AH16" t="s">
        <v>119</v>
      </c>
      <c r="AI16" t="s">
        <v>120</v>
      </c>
      <c r="AJ16" t="s">
        <v>121</v>
      </c>
      <c r="AK16" t="s">
        <v>122</v>
      </c>
      <c r="AL16" t="s">
        <v>146</v>
      </c>
      <c r="AM16" t="s">
        <v>147</v>
      </c>
      <c r="AN16" t="s">
        <v>148</v>
      </c>
      <c r="AO16"/>
      <c r="AP16"/>
      <c r="AQ16" t="s">
        <v>116</v>
      </c>
      <c r="AR16"/>
      <c r="AS16"/>
      <c r="AT16" t="s">
        <v>116</v>
      </c>
      <c r="AU16"/>
      <c r="AV16"/>
      <c r="AW16" t="s">
        <v>116</v>
      </c>
      <c r="AX16"/>
      <c r="AY16"/>
      <c r="AZ16" t="s">
        <v>116</v>
      </c>
      <c r="BA16"/>
      <c r="BB16"/>
      <c r="BC16" t="s">
        <v>116</v>
      </c>
      <c r="BD16"/>
      <c r="BE16"/>
      <c r="BF16" t="s">
        <v>116</v>
      </c>
      <c r="BG16"/>
      <c r="BH16"/>
      <c r="BI16" t="s">
        <v>116</v>
      </c>
      <c r="BJ16"/>
      <c r="BK16"/>
      <c r="BL16" s="8">
        <v>5000</v>
      </c>
      <c r="BM16" s="8">
        <v>3587.26</v>
      </c>
      <c r="BN16" s="8">
        <v>3587.26</v>
      </c>
      <c r="BO16" s="8">
        <v>0</v>
      </c>
      <c r="BP16" s="8">
        <v>-1412.74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t="s">
        <v>99</v>
      </c>
      <c r="BZ16" t="s">
        <v>126</v>
      </c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x14ac:dyDescent="0.25">
      <c r="A17" t="s">
        <v>99</v>
      </c>
      <c r="B17" t="s">
        <v>100</v>
      </c>
      <c r="C17" t="s">
        <v>5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s="6" t="s">
        <v>106</v>
      </c>
      <c r="J17" s="6" t="s">
        <v>107</v>
      </c>
      <c r="K17" s="6" t="s">
        <v>108</v>
      </c>
      <c r="L17" s="6" t="s">
        <v>109</v>
      </c>
      <c r="M17" s="6" t="s">
        <v>110</v>
      </c>
      <c r="N17" s="6" t="s">
        <v>194</v>
      </c>
      <c r="O17" s="6" t="s">
        <v>112</v>
      </c>
      <c r="P17" s="6" t="s">
        <v>195</v>
      </c>
      <c r="Q17" s="6" t="s">
        <v>196</v>
      </c>
      <c r="R17" t="s">
        <v>112</v>
      </c>
      <c r="S17" t="s">
        <v>197</v>
      </c>
      <c r="T17"/>
      <c r="U17"/>
      <c r="V17" t="s">
        <v>116</v>
      </c>
      <c r="W17"/>
      <c r="X17"/>
      <c r="Y17" t="s">
        <v>116</v>
      </c>
      <c r="Z17"/>
      <c r="AA17"/>
      <c r="AB17" t="s">
        <v>116</v>
      </c>
      <c r="AC17"/>
      <c r="AD17"/>
      <c r="AE17" t="s">
        <v>116</v>
      </c>
      <c r="AF17" t="s">
        <v>117</v>
      </c>
      <c r="AG17" t="s">
        <v>118</v>
      </c>
      <c r="AH17" t="s">
        <v>119</v>
      </c>
      <c r="AI17" t="s">
        <v>120</v>
      </c>
      <c r="AJ17" t="s">
        <v>121</v>
      </c>
      <c r="AK17" t="s">
        <v>122</v>
      </c>
      <c r="AL17" t="s">
        <v>198</v>
      </c>
      <c r="AM17" t="s">
        <v>199</v>
      </c>
      <c r="AN17" t="s">
        <v>200</v>
      </c>
      <c r="AO17"/>
      <c r="AP17"/>
      <c r="AQ17" t="s">
        <v>116</v>
      </c>
      <c r="AR17"/>
      <c r="AS17"/>
      <c r="AT17" t="s">
        <v>116</v>
      </c>
      <c r="AU17"/>
      <c r="AV17"/>
      <c r="AW17" t="s">
        <v>116</v>
      </c>
      <c r="AX17"/>
      <c r="AY17"/>
      <c r="AZ17" t="s">
        <v>116</v>
      </c>
      <c r="BA17"/>
      <c r="BB17"/>
      <c r="BC17" t="s">
        <v>116</v>
      </c>
      <c r="BD17"/>
      <c r="BE17"/>
      <c r="BF17" t="s">
        <v>116</v>
      </c>
      <c r="BG17"/>
      <c r="BH17"/>
      <c r="BI17" t="s">
        <v>116</v>
      </c>
      <c r="BJ17"/>
      <c r="BK17"/>
      <c r="BL17" s="8">
        <v>4136.16</v>
      </c>
      <c r="BM17" s="8">
        <v>0</v>
      </c>
      <c r="BN17" s="8">
        <v>0</v>
      </c>
      <c r="BO17" s="8">
        <v>0</v>
      </c>
      <c r="BP17" s="8">
        <v>-4136.16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t="s">
        <v>99</v>
      </c>
      <c r="BZ17" t="s">
        <v>126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spans="1:108" x14ac:dyDescent="0.25">
      <c r="A18" t="s">
        <v>99</v>
      </c>
      <c r="B18" t="s">
        <v>100</v>
      </c>
      <c r="C18" t="s">
        <v>5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s="6" t="s">
        <v>106</v>
      </c>
      <c r="J18" s="6" t="s">
        <v>107</v>
      </c>
      <c r="K18" s="6" t="s">
        <v>108</v>
      </c>
      <c r="L18" s="6" t="s">
        <v>109</v>
      </c>
      <c r="M18" s="6" t="s">
        <v>110</v>
      </c>
      <c r="N18" s="6" t="s">
        <v>194</v>
      </c>
      <c r="O18" s="6" t="s">
        <v>112</v>
      </c>
      <c r="P18" s="6" t="s">
        <v>195</v>
      </c>
      <c r="Q18" s="6" t="s">
        <v>201</v>
      </c>
      <c r="R18" t="s">
        <v>112</v>
      </c>
      <c r="S18" t="s">
        <v>202</v>
      </c>
      <c r="T18"/>
      <c r="U18"/>
      <c r="V18" t="s">
        <v>116</v>
      </c>
      <c r="W18"/>
      <c r="X18"/>
      <c r="Y18" t="s">
        <v>116</v>
      </c>
      <c r="Z18"/>
      <c r="AA18"/>
      <c r="AB18" t="s">
        <v>116</v>
      </c>
      <c r="AC18"/>
      <c r="AD18"/>
      <c r="AE18" t="s">
        <v>116</v>
      </c>
      <c r="AF18" t="s">
        <v>117</v>
      </c>
      <c r="AG18" t="s">
        <v>118</v>
      </c>
      <c r="AH18" t="s">
        <v>119</v>
      </c>
      <c r="AI18" t="s">
        <v>120</v>
      </c>
      <c r="AJ18" t="s">
        <v>121</v>
      </c>
      <c r="AK18" t="s">
        <v>122</v>
      </c>
      <c r="AL18" t="s">
        <v>187</v>
      </c>
      <c r="AM18" t="s">
        <v>188</v>
      </c>
      <c r="AN18" t="s">
        <v>189</v>
      </c>
      <c r="AO18"/>
      <c r="AP18"/>
      <c r="AQ18" t="s">
        <v>116</v>
      </c>
      <c r="AR18"/>
      <c r="AS18"/>
      <c r="AT18" t="s">
        <v>116</v>
      </c>
      <c r="AU18"/>
      <c r="AV18"/>
      <c r="AW18" t="s">
        <v>116</v>
      </c>
      <c r="AX18"/>
      <c r="AY18"/>
      <c r="AZ18" t="s">
        <v>116</v>
      </c>
      <c r="BA18"/>
      <c r="BB18"/>
      <c r="BC18" t="s">
        <v>116</v>
      </c>
      <c r="BD18"/>
      <c r="BE18"/>
      <c r="BF18" t="s">
        <v>116</v>
      </c>
      <c r="BG18"/>
      <c r="BH18"/>
      <c r="BI18" t="s">
        <v>116</v>
      </c>
      <c r="BJ18"/>
      <c r="BK18"/>
      <c r="BL18" s="8">
        <v>17605.32</v>
      </c>
      <c r="BM18" s="8">
        <v>11980</v>
      </c>
      <c r="BN18" s="8">
        <v>11980</v>
      </c>
      <c r="BO18" s="8">
        <v>0</v>
      </c>
      <c r="BP18" s="8">
        <v>-5625.32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t="s">
        <v>99</v>
      </c>
      <c r="BZ18" t="s">
        <v>126</v>
      </c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spans="1:108" x14ac:dyDescent="0.25">
      <c r="A19" t="s">
        <v>99</v>
      </c>
      <c r="B19" t="s">
        <v>100</v>
      </c>
      <c r="C19" t="s">
        <v>5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s="6" t="s">
        <v>106</v>
      </c>
      <c r="J19" s="6" t="s">
        <v>107</v>
      </c>
      <c r="K19" s="6" t="s">
        <v>203</v>
      </c>
      <c r="L19" s="6" t="s">
        <v>204</v>
      </c>
      <c r="M19" s="6" t="s">
        <v>205</v>
      </c>
      <c r="N19" s="6" t="s">
        <v>206</v>
      </c>
      <c r="O19" s="6" t="s">
        <v>112</v>
      </c>
      <c r="P19" s="6" t="s">
        <v>207</v>
      </c>
      <c r="Q19" s="6" t="s">
        <v>208</v>
      </c>
      <c r="R19" t="s">
        <v>112</v>
      </c>
      <c r="S19" t="s">
        <v>209</v>
      </c>
      <c r="T19"/>
      <c r="U19"/>
      <c r="V19" t="s">
        <v>116</v>
      </c>
      <c r="W19"/>
      <c r="X19"/>
      <c r="Y19" t="s">
        <v>116</v>
      </c>
      <c r="Z19"/>
      <c r="AA19"/>
      <c r="AB19" t="s">
        <v>116</v>
      </c>
      <c r="AC19"/>
      <c r="AD19"/>
      <c r="AE19" t="s">
        <v>116</v>
      </c>
      <c r="AF19" t="s">
        <v>117</v>
      </c>
      <c r="AG19" t="s">
        <v>118</v>
      </c>
      <c r="AH19" t="s">
        <v>119</v>
      </c>
      <c r="AI19" t="s">
        <v>120</v>
      </c>
      <c r="AJ19" t="s">
        <v>121</v>
      </c>
      <c r="AK19" t="s">
        <v>122</v>
      </c>
      <c r="AL19" t="s">
        <v>210</v>
      </c>
      <c r="AM19" t="s">
        <v>211</v>
      </c>
      <c r="AN19" t="s">
        <v>212</v>
      </c>
      <c r="AO19"/>
      <c r="AP19"/>
      <c r="AQ19" t="s">
        <v>116</v>
      </c>
      <c r="AR19"/>
      <c r="AS19"/>
      <c r="AT19" t="s">
        <v>116</v>
      </c>
      <c r="AU19"/>
      <c r="AV19"/>
      <c r="AW19" t="s">
        <v>116</v>
      </c>
      <c r="AX19"/>
      <c r="AY19"/>
      <c r="AZ19" t="s">
        <v>116</v>
      </c>
      <c r="BA19"/>
      <c r="BB19"/>
      <c r="BC19" t="s">
        <v>116</v>
      </c>
      <c r="BD19"/>
      <c r="BE19"/>
      <c r="BF19" t="s">
        <v>116</v>
      </c>
      <c r="BG19"/>
      <c r="BH19"/>
      <c r="BI19" t="s">
        <v>116</v>
      </c>
      <c r="BJ19"/>
      <c r="BK19"/>
      <c r="BL19" s="8">
        <v>400000</v>
      </c>
      <c r="BM19" s="8">
        <v>353467.61</v>
      </c>
      <c r="BN19" s="8">
        <v>353467.61</v>
      </c>
      <c r="BO19" s="8">
        <v>0</v>
      </c>
      <c r="BP19" s="8">
        <v>-46532.39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t="s">
        <v>99</v>
      </c>
      <c r="BZ19" t="s">
        <v>126</v>
      </c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spans="1:108" x14ac:dyDescent="0.25">
      <c r="A20" t="s">
        <v>99</v>
      </c>
      <c r="B20" t="s">
        <v>100</v>
      </c>
      <c r="C20" t="s">
        <v>5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s="6" t="s">
        <v>106</v>
      </c>
      <c r="J20" s="6" t="s">
        <v>107</v>
      </c>
      <c r="K20" s="6" t="s">
        <v>203</v>
      </c>
      <c r="L20" s="6" t="s">
        <v>204</v>
      </c>
      <c r="M20" s="6" t="s">
        <v>205</v>
      </c>
      <c r="N20" s="6" t="s">
        <v>213</v>
      </c>
      <c r="O20" s="6" t="s">
        <v>112</v>
      </c>
      <c r="P20" s="6" t="s">
        <v>214</v>
      </c>
      <c r="Q20" s="6" t="s">
        <v>215</v>
      </c>
      <c r="R20" t="s">
        <v>112</v>
      </c>
      <c r="S20" t="s">
        <v>216</v>
      </c>
      <c r="T20"/>
      <c r="U20"/>
      <c r="V20" t="s">
        <v>116</v>
      </c>
      <c r="W20"/>
      <c r="X20"/>
      <c r="Y20" t="s">
        <v>116</v>
      </c>
      <c r="Z20"/>
      <c r="AA20"/>
      <c r="AB20" t="s">
        <v>116</v>
      </c>
      <c r="AC20"/>
      <c r="AD20"/>
      <c r="AE20" t="s">
        <v>116</v>
      </c>
      <c r="AF20" t="s">
        <v>117</v>
      </c>
      <c r="AG20" t="s">
        <v>118</v>
      </c>
      <c r="AH20" t="s">
        <v>119</v>
      </c>
      <c r="AI20" t="s">
        <v>120</v>
      </c>
      <c r="AJ20" t="s">
        <v>121</v>
      </c>
      <c r="AK20" t="s">
        <v>122</v>
      </c>
      <c r="AL20" t="s">
        <v>217</v>
      </c>
      <c r="AM20" t="s">
        <v>218</v>
      </c>
      <c r="AN20" t="s">
        <v>219</v>
      </c>
      <c r="AO20"/>
      <c r="AP20"/>
      <c r="AQ20" t="s">
        <v>116</v>
      </c>
      <c r="AR20"/>
      <c r="AS20"/>
      <c r="AT20" t="s">
        <v>116</v>
      </c>
      <c r="AU20"/>
      <c r="AV20"/>
      <c r="AW20" t="s">
        <v>116</v>
      </c>
      <c r="AX20"/>
      <c r="AY20"/>
      <c r="AZ20" t="s">
        <v>116</v>
      </c>
      <c r="BA20"/>
      <c r="BB20"/>
      <c r="BC20" t="s">
        <v>116</v>
      </c>
      <c r="BD20"/>
      <c r="BE20"/>
      <c r="BF20" t="s">
        <v>116</v>
      </c>
      <c r="BG20"/>
      <c r="BH20"/>
      <c r="BI20" t="s">
        <v>116</v>
      </c>
      <c r="BJ20"/>
      <c r="BK20"/>
      <c r="BL20" s="8">
        <v>10768.7</v>
      </c>
      <c r="BM20" s="8">
        <v>10420.08</v>
      </c>
      <c r="BN20" s="8">
        <v>10420.08</v>
      </c>
      <c r="BO20" s="8">
        <v>0</v>
      </c>
      <c r="BP20" s="8">
        <v>-348.62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t="s">
        <v>99</v>
      </c>
      <c r="BZ20" t="s">
        <v>126</v>
      </c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spans="1:108" x14ac:dyDescent="0.25">
      <c r="A21" t="s">
        <v>99</v>
      </c>
      <c r="B21" t="s">
        <v>100</v>
      </c>
      <c r="C21" t="s">
        <v>5</v>
      </c>
      <c r="D21" t="s">
        <v>101</v>
      </c>
      <c r="E21" t="s">
        <v>102</v>
      </c>
      <c r="F21" t="s">
        <v>103</v>
      </c>
      <c r="G21" t="s">
        <v>104</v>
      </c>
      <c r="H21" t="s">
        <v>105</v>
      </c>
      <c r="I21" s="6" t="s">
        <v>106</v>
      </c>
      <c r="J21" s="6" t="s">
        <v>107</v>
      </c>
      <c r="K21" s="6" t="s">
        <v>203</v>
      </c>
      <c r="L21" s="6" t="s">
        <v>204</v>
      </c>
      <c r="M21" s="6" t="s">
        <v>205</v>
      </c>
      <c r="N21" s="6" t="s">
        <v>213</v>
      </c>
      <c r="O21" s="6" t="s">
        <v>112</v>
      </c>
      <c r="P21" s="6" t="s">
        <v>214</v>
      </c>
      <c r="Q21" s="6" t="s">
        <v>220</v>
      </c>
      <c r="R21" t="s">
        <v>112</v>
      </c>
      <c r="S21" t="s">
        <v>221</v>
      </c>
      <c r="T21"/>
      <c r="U21"/>
      <c r="V21" t="s">
        <v>116</v>
      </c>
      <c r="W21"/>
      <c r="X21"/>
      <c r="Y21" t="s">
        <v>116</v>
      </c>
      <c r="Z21"/>
      <c r="AA21"/>
      <c r="AB21" t="s">
        <v>116</v>
      </c>
      <c r="AC21"/>
      <c r="AD21"/>
      <c r="AE21" t="s">
        <v>116</v>
      </c>
      <c r="AF21" t="s">
        <v>117</v>
      </c>
      <c r="AG21" t="s">
        <v>118</v>
      </c>
      <c r="AH21" t="s">
        <v>119</v>
      </c>
      <c r="AI21" t="s">
        <v>120</v>
      </c>
      <c r="AJ21" t="s">
        <v>121</v>
      </c>
      <c r="AK21" t="s">
        <v>122</v>
      </c>
      <c r="AL21" t="s">
        <v>217</v>
      </c>
      <c r="AM21" t="s">
        <v>218</v>
      </c>
      <c r="AN21" t="s">
        <v>219</v>
      </c>
      <c r="AO21"/>
      <c r="AP21"/>
      <c r="AQ21" t="s">
        <v>116</v>
      </c>
      <c r="AR21"/>
      <c r="AS21"/>
      <c r="AT21" t="s">
        <v>116</v>
      </c>
      <c r="AU21"/>
      <c r="AV21"/>
      <c r="AW21" t="s">
        <v>116</v>
      </c>
      <c r="AX21"/>
      <c r="AY21"/>
      <c r="AZ21" t="s">
        <v>116</v>
      </c>
      <c r="BA21"/>
      <c r="BB21"/>
      <c r="BC21" t="s">
        <v>116</v>
      </c>
      <c r="BD21"/>
      <c r="BE21"/>
      <c r="BF21" t="s">
        <v>116</v>
      </c>
      <c r="BG21"/>
      <c r="BH21"/>
      <c r="BI21" t="s">
        <v>116</v>
      </c>
      <c r="BJ21"/>
      <c r="BK21"/>
      <c r="BL21" s="8">
        <v>132.34</v>
      </c>
      <c r="BM21" s="8">
        <v>53.19</v>
      </c>
      <c r="BN21" s="8">
        <v>53.19</v>
      </c>
      <c r="BO21" s="8">
        <v>0</v>
      </c>
      <c r="BP21" s="8">
        <v>-79.150000000000006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t="s">
        <v>99</v>
      </c>
      <c r="BZ21" t="s">
        <v>126</v>
      </c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spans="1:108" x14ac:dyDescent="0.25">
      <c r="A22" t="s">
        <v>99</v>
      </c>
      <c r="B22" t="s">
        <v>100</v>
      </c>
      <c r="C22" t="s">
        <v>5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s="6" t="s">
        <v>106</v>
      </c>
      <c r="J22" s="6" t="s">
        <v>107</v>
      </c>
      <c r="K22" s="6" t="s">
        <v>203</v>
      </c>
      <c r="L22" s="6" t="s">
        <v>204</v>
      </c>
      <c r="M22" s="6" t="s">
        <v>205</v>
      </c>
      <c r="N22" s="6" t="s">
        <v>213</v>
      </c>
      <c r="O22" s="6" t="s">
        <v>112</v>
      </c>
      <c r="P22" s="6" t="s">
        <v>214</v>
      </c>
      <c r="Q22" s="6" t="s">
        <v>222</v>
      </c>
      <c r="R22" t="s">
        <v>112</v>
      </c>
      <c r="S22" t="s">
        <v>223</v>
      </c>
      <c r="T22"/>
      <c r="U22"/>
      <c r="V22" t="s">
        <v>116</v>
      </c>
      <c r="W22"/>
      <c r="X22"/>
      <c r="Y22" t="s">
        <v>116</v>
      </c>
      <c r="Z22"/>
      <c r="AA22"/>
      <c r="AB22" t="s">
        <v>116</v>
      </c>
      <c r="AC22"/>
      <c r="AD22"/>
      <c r="AE22" t="s">
        <v>116</v>
      </c>
      <c r="AF22" t="s">
        <v>117</v>
      </c>
      <c r="AG22" t="s">
        <v>118</v>
      </c>
      <c r="AH22" t="s">
        <v>119</v>
      </c>
      <c r="AI22" t="s">
        <v>120</v>
      </c>
      <c r="AJ22" t="s">
        <v>121</v>
      </c>
      <c r="AK22" t="s">
        <v>122</v>
      </c>
      <c r="AL22" t="s">
        <v>217</v>
      </c>
      <c r="AM22" t="s">
        <v>218</v>
      </c>
      <c r="AN22" t="s">
        <v>219</v>
      </c>
      <c r="AO22"/>
      <c r="AP22"/>
      <c r="AQ22" t="s">
        <v>116</v>
      </c>
      <c r="AR22"/>
      <c r="AS22"/>
      <c r="AT22" t="s">
        <v>116</v>
      </c>
      <c r="AU22"/>
      <c r="AV22"/>
      <c r="AW22" t="s">
        <v>116</v>
      </c>
      <c r="AX22"/>
      <c r="AY22"/>
      <c r="AZ22" t="s">
        <v>116</v>
      </c>
      <c r="BA22"/>
      <c r="BB22"/>
      <c r="BC22" t="s">
        <v>116</v>
      </c>
      <c r="BD22"/>
      <c r="BE22"/>
      <c r="BF22" t="s">
        <v>116</v>
      </c>
      <c r="BG22"/>
      <c r="BH22"/>
      <c r="BI22" t="s">
        <v>116</v>
      </c>
      <c r="BJ22"/>
      <c r="BK22"/>
      <c r="BL22" s="8">
        <v>4349.25</v>
      </c>
      <c r="BM22" s="8">
        <v>2200.69</v>
      </c>
      <c r="BN22" s="8">
        <v>2200.69</v>
      </c>
      <c r="BO22" s="8">
        <v>0</v>
      </c>
      <c r="BP22" s="8">
        <v>-2148.56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t="s">
        <v>99</v>
      </c>
      <c r="BZ22" t="s">
        <v>126</v>
      </c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spans="1:108" x14ac:dyDescent="0.25">
      <c r="A23" t="s">
        <v>99</v>
      </c>
      <c r="B23" t="s">
        <v>100</v>
      </c>
      <c r="C23" t="s">
        <v>5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s="6" t="s">
        <v>106</v>
      </c>
      <c r="J23" s="6" t="s">
        <v>107</v>
      </c>
      <c r="K23" s="6" t="s">
        <v>203</v>
      </c>
      <c r="L23" s="6" t="s">
        <v>204</v>
      </c>
      <c r="M23" s="6" t="s">
        <v>205</v>
      </c>
      <c r="N23" s="6" t="s">
        <v>213</v>
      </c>
      <c r="O23" s="6" t="s">
        <v>112</v>
      </c>
      <c r="P23" s="6" t="s">
        <v>214</v>
      </c>
      <c r="Q23" s="6" t="s">
        <v>224</v>
      </c>
      <c r="R23" t="s">
        <v>112</v>
      </c>
      <c r="S23" t="s">
        <v>225</v>
      </c>
      <c r="T23"/>
      <c r="U23"/>
      <c r="V23" t="s">
        <v>116</v>
      </c>
      <c r="W23"/>
      <c r="X23"/>
      <c r="Y23" t="s">
        <v>116</v>
      </c>
      <c r="Z23"/>
      <c r="AA23"/>
      <c r="AB23" t="s">
        <v>116</v>
      </c>
      <c r="AC23"/>
      <c r="AD23"/>
      <c r="AE23" t="s">
        <v>116</v>
      </c>
      <c r="AF23" t="s">
        <v>117</v>
      </c>
      <c r="AG23" t="s">
        <v>118</v>
      </c>
      <c r="AH23" t="s">
        <v>119</v>
      </c>
      <c r="AI23" t="s">
        <v>120</v>
      </c>
      <c r="AJ23" t="s">
        <v>121</v>
      </c>
      <c r="AK23" t="s">
        <v>122</v>
      </c>
      <c r="AL23" t="s">
        <v>217</v>
      </c>
      <c r="AM23" t="s">
        <v>218</v>
      </c>
      <c r="AN23" t="s">
        <v>219</v>
      </c>
      <c r="AO23"/>
      <c r="AP23"/>
      <c r="AQ23" t="s">
        <v>116</v>
      </c>
      <c r="AR23"/>
      <c r="AS23"/>
      <c r="AT23" t="s">
        <v>116</v>
      </c>
      <c r="AU23"/>
      <c r="AV23"/>
      <c r="AW23" t="s">
        <v>116</v>
      </c>
      <c r="AX23"/>
      <c r="AY23"/>
      <c r="AZ23" t="s">
        <v>116</v>
      </c>
      <c r="BA23"/>
      <c r="BB23"/>
      <c r="BC23" t="s">
        <v>116</v>
      </c>
      <c r="BD23"/>
      <c r="BE23"/>
      <c r="BF23" t="s">
        <v>116</v>
      </c>
      <c r="BG23"/>
      <c r="BH23"/>
      <c r="BI23" t="s">
        <v>116</v>
      </c>
      <c r="BJ23"/>
      <c r="BK23"/>
      <c r="BL23" s="8">
        <v>6227.16</v>
      </c>
      <c r="BM23" s="8">
        <v>5090.51</v>
      </c>
      <c r="BN23" s="8">
        <v>5090.51</v>
      </c>
      <c r="BO23" s="8">
        <v>0</v>
      </c>
      <c r="BP23" s="8">
        <v>-1136.6500000000001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t="s">
        <v>99</v>
      </c>
      <c r="BZ23" t="s">
        <v>126</v>
      </c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spans="1:108" x14ac:dyDescent="0.25">
      <c r="A24" t="s">
        <v>99</v>
      </c>
      <c r="B24" t="s">
        <v>100</v>
      </c>
      <c r="C24" t="s">
        <v>5</v>
      </c>
      <c r="D24" t="s">
        <v>101</v>
      </c>
      <c r="E24" t="s">
        <v>102</v>
      </c>
      <c r="F24" t="s">
        <v>103</v>
      </c>
      <c r="G24" t="s">
        <v>104</v>
      </c>
      <c r="H24" t="s">
        <v>105</v>
      </c>
      <c r="I24" s="6" t="s">
        <v>106</v>
      </c>
      <c r="J24" s="6" t="s">
        <v>107</v>
      </c>
      <c r="K24" s="6" t="s">
        <v>226</v>
      </c>
      <c r="L24" s="6" t="s">
        <v>227</v>
      </c>
      <c r="M24" s="6" t="s">
        <v>228</v>
      </c>
      <c r="N24" s="6" t="s">
        <v>229</v>
      </c>
      <c r="O24" s="6" t="s">
        <v>112</v>
      </c>
      <c r="P24" s="6" t="s">
        <v>230</v>
      </c>
      <c r="Q24" s="6" t="s">
        <v>231</v>
      </c>
      <c r="R24" t="s">
        <v>112</v>
      </c>
      <c r="S24" t="s">
        <v>232</v>
      </c>
      <c r="T24"/>
      <c r="U24"/>
      <c r="V24" t="s">
        <v>116</v>
      </c>
      <c r="W24"/>
      <c r="X24"/>
      <c r="Y24" t="s">
        <v>116</v>
      </c>
      <c r="Z24"/>
      <c r="AA24"/>
      <c r="AB24" t="s">
        <v>116</v>
      </c>
      <c r="AC24"/>
      <c r="AD24"/>
      <c r="AE24" t="s">
        <v>116</v>
      </c>
      <c r="AF24" t="s">
        <v>117</v>
      </c>
      <c r="AG24" t="s">
        <v>118</v>
      </c>
      <c r="AH24" t="s">
        <v>119</v>
      </c>
      <c r="AI24" t="s">
        <v>120</v>
      </c>
      <c r="AJ24" t="s">
        <v>121</v>
      </c>
      <c r="AK24" t="s">
        <v>122</v>
      </c>
      <c r="AL24" t="s">
        <v>146</v>
      </c>
      <c r="AM24" t="s">
        <v>147</v>
      </c>
      <c r="AN24" t="s">
        <v>148</v>
      </c>
      <c r="AO24"/>
      <c r="AP24"/>
      <c r="AQ24" t="s">
        <v>116</v>
      </c>
      <c r="AR24"/>
      <c r="AS24"/>
      <c r="AT24" t="s">
        <v>116</v>
      </c>
      <c r="AU24"/>
      <c r="AV24"/>
      <c r="AW24" t="s">
        <v>116</v>
      </c>
      <c r="AX24"/>
      <c r="AY24"/>
      <c r="AZ24" t="s">
        <v>116</v>
      </c>
      <c r="BA24"/>
      <c r="BB24"/>
      <c r="BC24" t="s">
        <v>116</v>
      </c>
      <c r="BD24"/>
      <c r="BE24"/>
      <c r="BF24" t="s">
        <v>116</v>
      </c>
      <c r="BG24"/>
      <c r="BH24"/>
      <c r="BI24" t="s">
        <v>116</v>
      </c>
      <c r="BJ24"/>
      <c r="BK24"/>
      <c r="BL24" s="8">
        <v>11327.4</v>
      </c>
      <c r="BM24" s="8">
        <v>4676.17</v>
      </c>
      <c r="BN24" s="8">
        <v>4676.17</v>
      </c>
      <c r="BO24" s="8">
        <v>0</v>
      </c>
      <c r="BP24" s="8">
        <v>-6651.23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t="s">
        <v>99</v>
      </c>
      <c r="BZ24" t="s">
        <v>126</v>
      </c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spans="1:108" x14ac:dyDescent="0.25">
      <c r="A25" t="s">
        <v>99</v>
      </c>
      <c r="B25" t="s">
        <v>100</v>
      </c>
      <c r="C25" t="s">
        <v>5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s="6" t="s">
        <v>106</v>
      </c>
      <c r="J25" s="6" t="s">
        <v>107</v>
      </c>
      <c r="K25" s="6" t="s">
        <v>226</v>
      </c>
      <c r="L25" s="6" t="s">
        <v>227</v>
      </c>
      <c r="M25" s="6" t="s">
        <v>228</v>
      </c>
      <c r="N25" s="6" t="s">
        <v>229</v>
      </c>
      <c r="O25" s="6" t="s">
        <v>112</v>
      </c>
      <c r="P25" s="6" t="s">
        <v>230</v>
      </c>
      <c r="Q25" s="6" t="s">
        <v>233</v>
      </c>
      <c r="R25" t="s">
        <v>112</v>
      </c>
      <c r="S25" t="s">
        <v>234</v>
      </c>
      <c r="T25"/>
      <c r="U25"/>
      <c r="V25" t="s">
        <v>116</v>
      </c>
      <c r="W25"/>
      <c r="X25"/>
      <c r="Y25" t="s">
        <v>116</v>
      </c>
      <c r="Z25"/>
      <c r="AA25"/>
      <c r="AB25" t="s">
        <v>116</v>
      </c>
      <c r="AC25"/>
      <c r="AD25"/>
      <c r="AE25" t="s">
        <v>116</v>
      </c>
      <c r="AF25" t="s">
        <v>117</v>
      </c>
      <c r="AG25" t="s">
        <v>118</v>
      </c>
      <c r="AH25" t="s">
        <v>119</v>
      </c>
      <c r="AI25" t="s">
        <v>120</v>
      </c>
      <c r="AJ25" t="s">
        <v>121</v>
      </c>
      <c r="AK25" t="s">
        <v>122</v>
      </c>
      <c r="AL25" t="s">
        <v>146</v>
      </c>
      <c r="AM25" t="s">
        <v>147</v>
      </c>
      <c r="AN25" t="s">
        <v>148</v>
      </c>
      <c r="AO25"/>
      <c r="AP25"/>
      <c r="AQ25" t="s">
        <v>116</v>
      </c>
      <c r="AR25"/>
      <c r="AS25"/>
      <c r="AT25" t="s">
        <v>116</v>
      </c>
      <c r="AU25"/>
      <c r="AV25"/>
      <c r="AW25" t="s">
        <v>116</v>
      </c>
      <c r="AX25"/>
      <c r="AY25"/>
      <c r="AZ25" t="s">
        <v>116</v>
      </c>
      <c r="BA25"/>
      <c r="BB25"/>
      <c r="BC25" t="s">
        <v>116</v>
      </c>
      <c r="BD25"/>
      <c r="BE25"/>
      <c r="BF25" t="s">
        <v>116</v>
      </c>
      <c r="BG25"/>
      <c r="BH25"/>
      <c r="BI25" t="s">
        <v>116</v>
      </c>
      <c r="BJ25"/>
      <c r="BK25"/>
      <c r="BL25" s="8">
        <v>6289</v>
      </c>
      <c r="BM25" s="8">
        <v>6191.53</v>
      </c>
      <c r="BN25" s="8">
        <v>6191.53</v>
      </c>
      <c r="BO25" s="8">
        <v>0</v>
      </c>
      <c r="BP25" s="8">
        <v>-97.47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t="s">
        <v>99</v>
      </c>
      <c r="BZ25" t="s">
        <v>126</v>
      </c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spans="1:108" x14ac:dyDescent="0.25">
      <c r="A26" t="s">
        <v>99</v>
      </c>
      <c r="B26" t="s">
        <v>100</v>
      </c>
      <c r="C26" t="s">
        <v>5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s="6" t="s">
        <v>106</v>
      </c>
      <c r="J26" s="6" t="s">
        <v>107</v>
      </c>
      <c r="K26" s="6" t="s">
        <v>226</v>
      </c>
      <c r="L26" s="6" t="s">
        <v>227</v>
      </c>
      <c r="M26" s="6" t="s">
        <v>228</v>
      </c>
      <c r="N26" s="6" t="s">
        <v>235</v>
      </c>
      <c r="O26" s="6" t="s">
        <v>112</v>
      </c>
      <c r="P26" s="6" t="s">
        <v>236</v>
      </c>
      <c r="Q26" s="6" t="s">
        <v>237</v>
      </c>
      <c r="R26" t="s">
        <v>112</v>
      </c>
      <c r="S26" t="s">
        <v>238</v>
      </c>
      <c r="T26"/>
      <c r="U26"/>
      <c r="V26" t="s">
        <v>116</v>
      </c>
      <c r="W26"/>
      <c r="X26"/>
      <c r="Y26" t="s">
        <v>116</v>
      </c>
      <c r="Z26"/>
      <c r="AA26"/>
      <c r="AB26" t="s">
        <v>116</v>
      </c>
      <c r="AC26"/>
      <c r="AD26"/>
      <c r="AE26" t="s">
        <v>116</v>
      </c>
      <c r="AF26" t="s">
        <v>117</v>
      </c>
      <c r="AG26" t="s">
        <v>118</v>
      </c>
      <c r="AH26" t="s">
        <v>119</v>
      </c>
      <c r="AI26" t="s">
        <v>120</v>
      </c>
      <c r="AJ26" t="s">
        <v>121</v>
      </c>
      <c r="AK26" t="s">
        <v>122</v>
      </c>
      <c r="AL26" t="s">
        <v>139</v>
      </c>
      <c r="AM26" t="s">
        <v>140</v>
      </c>
      <c r="AN26" t="s">
        <v>141</v>
      </c>
      <c r="AO26"/>
      <c r="AP26"/>
      <c r="AQ26" t="s">
        <v>116</v>
      </c>
      <c r="AR26"/>
      <c r="AS26"/>
      <c r="AT26" t="s">
        <v>116</v>
      </c>
      <c r="AU26"/>
      <c r="AV26"/>
      <c r="AW26" t="s">
        <v>116</v>
      </c>
      <c r="AX26"/>
      <c r="AY26"/>
      <c r="AZ26" t="s">
        <v>116</v>
      </c>
      <c r="BA26"/>
      <c r="BB26"/>
      <c r="BC26" t="s">
        <v>116</v>
      </c>
      <c r="BD26"/>
      <c r="BE26"/>
      <c r="BF26" t="s">
        <v>116</v>
      </c>
      <c r="BG26"/>
      <c r="BH26"/>
      <c r="BI26" t="s">
        <v>116</v>
      </c>
      <c r="BJ26"/>
      <c r="BK26"/>
      <c r="BL26" s="8">
        <v>106299.5</v>
      </c>
      <c r="BM26" s="8">
        <v>106299.5</v>
      </c>
      <c r="BN26" s="8">
        <v>106299.5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t="s">
        <v>99</v>
      </c>
      <c r="BZ26" t="s">
        <v>126</v>
      </c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x14ac:dyDescent="0.25">
      <c r="A27" t="s">
        <v>99</v>
      </c>
      <c r="B27" t="s">
        <v>100</v>
      </c>
      <c r="C27" t="s">
        <v>5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s="6" t="s">
        <v>106</v>
      </c>
      <c r="J27" s="6" t="s">
        <v>107</v>
      </c>
      <c r="K27" s="6" t="s">
        <v>226</v>
      </c>
      <c r="L27" s="6" t="s">
        <v>227</v>
      </c>
      <c r="M27" s="6" t="s">
        <v>228</v>
      </c>
      <c r="N27" s="6" t="s">
        <v>239</v>
      </c>
      <c r="O27" s="6" t="s">
        <v>112</v>
      </c>
      <c r="P27" s="6" t="s">
        <v>240</v>
      </c>
      <c r="Q27" s="6" t="s">
        <v>241</v>
      </c>
      <c r="R27" t="s">
        <v>112</v>
      </c>
      <c r="S27" t="s">
        <v>242</v>
      </c>
      <c r="T27"/>
      <c r="U27"/>
      <c r="V27" t="s">
        <v>116</v>
      </c>
      <c r="W27"/>
      <c r="X27"/>
      <c r="Y27" t="s">
        <v>116</v>
      </c>
      <c r="Z27"/>
      <c r="AA27"/>
      <c r="AB27" t="s">
        <v>116</v>
      </c>
      <c r="AC27"/>
      <c r="AD27"/>
      <c r="AE27" t="s">
        <v>116</v>
      </c>
      <c r="AF27" t="s">
        <v>117</v>
      </c>
      <c r="AG27" t="s">
        <v>118</v>
      </c>
      <c r="AH27" t="s">
        <v>119</v>
      </c>
      <c r="AI27" t="s">
        <v>120</v>
      </c>
      <c r="AJ27" t="s">
        <v>121</v>
      </c>
      <c r="AK27" t="s">
        <v>122</v>
      </c>
      <c r="AL27" t="s">
        <v>157</v>
      </c>
      <c r="AM27" t="s">
        <v>158</v>
      </c>
      <c r="AN27" t="s">
        <v>159</v>
      </c>
      <c r="AO27"/>
      <c r="AP27"/>
      <c r="AQ27" t="s">
        <v>116</v>
      </c>
      <c r="AR27"/>
      <c r="AS27"/>
      <c r="AT27" t="s">
        <v>116</v>
      </c>
      <c r="AU27"/>
      <c r="AV27"/>
      <c r="AW27" t="s">
        <v>116</v>
      </c>
      <c r="AX27"/>
      <c r="AY27"/>
      <c r="AZ27" t="s">
        <v>116</v>
      </c>
      <c r="BA27"/>
      <c r="BB27"/>
      <c r="BC27" t="s">
        <v>116</v>
      </c>
      <c r="BD27"/>
      <c r="BE27"/>
      <c r="BF27" t="s">
        <v>116</v>
      </c>
      <c r="BG27"/>
      <c r="BH27"/>
      <c r="BI27" t="s">
        <v>116</v>
      </c>
      <c r="BJ27"/>
      <c r="BK27"/>
      <c r="BL27" s="8">
        <v>250</v>
      </c>
      <c r="BM27" s="8">
        <v>0</v>
      </c>
      <c r="BN27" s="8">
        <v>0</v>
      </c>
      <c r="BO27" s="8">
        <v>0</v>
      </c>
      <c r="BP27" s="8">
        <v>-250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t="s">
        <v>99</v>
      </c>
      <c r="BZ27" t="s">
        <v>126</v>
      </c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spans="1:108" x14ac:dyDescent="0.25">
      <c r="A28" t="s">
        <v>99</v>
      </c>
      <c r="B28" t="s">
        <v>100</v>
      </c>
      <c r="C28" t="s">
        <v>5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s="6" t="s">
        <v>106</v>
      </c>
      <c r="J28" s="6" t="s">
        <v>107</v>
      </c>
      <c r="K28" s="6" t="s">
        <v>226</v>
      </c>
      <c r="L28" s="6" t="s">
        <v>227</v>
      </c>
      <c r="M28" s="6" t="s">
        <v>228</v>
      </c>
      <c r="N28" s="6" t="s">
        <v>239</v>
      </c>
      <c r="O28" s="6" t="s">
        <v>112</v>
      </c>
      <c r="P28" s="6" t="s">
        <v>240</v>
      </c>
      <c r="Q28" s="6" t="s">
        <v>243</v>
      </c>
      <c r="R28" t="s">
        <v>112</v>
      </c>
      <c r="S28" t="s">
        <v>244</v>
      </c>
      <c r="T28"/>
      <c r="U28"/>
      <c r="V28" t="s">
        <v>116</v>
      </c>
      <c r="W28"/>
      <c r="X28"/>
      <c r="Y28" t="s">
        <v>116</v>
      </c>
      <c r="Z28"/>
      <c r="AA28"/>
      <c r="AB28" t="s">
        <v>116</v>
      </c>
      <c r="AC28"/>
      <c r="AD28"/>
      <c r="AE28" t="s">
        <v>116</v>
      </c>
      <c r="AF28" t="s">
        <v>117</v>
      </c>
      <c r="AG28" t="s">
        <v>118</v>
      </c>
      <c r="AH28" t="s">
        <v>119</v>
      </c>
      <c r="AI28" t="s">
        <v>120</v>
      </c>
      <c r="AJ28" t="s">
        <v>121</v>
      </c>
      <c r="AK28" t="s">
        <v>122</v>
      </c>
      <c r="AL28" t="s">
        <v>165</v>
      </c>
      <c r="AM28" t="s">
        <v>166</v>
      </c>
      <c r="AN28" t="s">
        <v>167</v>
      </c>
      <c r="AO28"/>
      <c r="AP28"/>
      <c r="AQ28" t="s">
        <v>116</v>
      </c>
      <c r="AR28"/>
      <c r="AS28"/>
      <c r="AT28" t="s">
        <v>116</v>
      </c>
      <c r="AU28"/>
      <c r="AV28"/>
      <c r="AW28" t="s">
        <v>116</v>
      </c>
      <c r="AX28"/>
      <c r="AY28"/>
      <c r="AZ28" t="s">
        <v>116</v>
      </c>
      <c r="BA28"/>
      <c r="BB28"/>
      <c r="BC28" t="s">
        <v>116</v>
      </c>
      <c r="BD28"/>
      <c r="BE28"/>
      <c r="BF28" t="s">
        <v>116</v>
      </c>
      <c r="BG28"/>
      <c r="BH28"/>
      <c r="BI28" t="s">
        <v>116</v>
      </c>
      <c r="BJ28"/>
      <c r="BK28"/>
      <c r="BL28" s="8">
        <v>3000</v>
      </c>
      <c r="BM28" s="8">
        <v>800</v>
      </c>
      <c r="BN28" s="8">
        <v>800</v>
      </c>
      <c r="BO28" s="8">
        <v>0</v>
      </c>
      <c r="BP28" s="8">
        <v>-2200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t="s">
        <v>99</v>
      </c>
      <c r="BZ28" t="s">
        <v>126</v>
      </c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spans="1:108" x14ac:dyDescent="0.25">
      <c r="A29" t="s">
        <v>99</v>
      </c>
      <c r="B29" t="s">
        <v>100</v>
      </c>
      <c r="C29" t="s">
        <v>5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s="6" t="s">
        <v>106</v>
      </c>
      <c r="J29" s="6" t="s">
        <v>107</v>
      </c>
      <c r="K29" s="6" t="s">
        <v>226</v>
      </c>
      <c r="L29" s="6" t="s">
        <v>227</v>
      </c>
      <c r="M29" s="6" t="s">
        <v>228</v>
      </c>
      <c r="N29" s="6" t="s">
        <v>239</v>
      </c>
      <c r="O29" s="6" t="s">
        <v>112</v>
      </c>
      <c r="P29" s="6" t="s">
        <v>240</v>
      </c>
      <c r="Q29" s="6" t="s">
        <v>245</v>
      </c>
      <c r="R29" t="s">
        <v>112</v>
      </c>
      <c r="S29" t="s">
        <v>246</v>
      </c>
      <c r="T29"/>
      <c r="U29"/>
      <c r="V29" t="s">
        <v>116</v>
      </c>
      <c r="W29"/>
      <c r="X29"/>
      <c r="Y29" t="s">
        <v>116</v>
      </c>
      <c r="Z29"/>
      <c r="AA29"/>
      <c r="AB29" t="s">
        <v>116</v>
      </c>
      <c r="AC29"/>
      <c r="AD29"/>
      <c r="AE29" t="s">
        <v>116</v>
      </c>
      <c r="AF29" t="s">
        <v>117</v>
      </c>
      <c r="AG29" t="s">
        <v>118</v>
      </c>
      <c r="AH29" t="s">
        <v>119</v>
      </c>
      <c r="AI29" t="s">
        <v>120</v>
      </c>
      <c r="AJ29" t="s">
        <v>121</v>
      </c>
      <c r="AK29" t="s">
        <v>122</v>
      </c>
      <c r="AL29" t="s">
        <v>247</v>
      </c>
      <c r="AM29" t="s">
        <v>248</v>
      </c>
      <c r="AN29" t="s">
        <v>249</v>
      </c>
      <c r="AO29"/>
      <c r="AP29"/>
      <c r="AQ29" t="s">
        <v>116</v>
      </c>
      <c r="AR29"/>
      <c r="AS29"/>
      <c r="AT29" t="s">
        <v>116</v>
      </c>
      <c r="AU29"/>
      <c r="AV29"/>
      <c r="AW29" t="s">
        <v>116</v>
      </c>
      <c r="AX29"/>
      <c r="AY29"/>
      <c r="AZ29" t="s">
        <v>116</v>
      </c>
      <c r="BA29"/>
      <c r="BB29"/>
      <c r="BC29" t="s">
        <v>116</v>
      </c>
      <c r="BD29"/>
      <c r="BE29"/>
      <c r="BF29" t="s">
        <v>116</v>
      </c>
      <c r="BG29"/>
      <c r="BH29"/>
      <c r="BI29" t="s">
        <v>116</v>
      </c>
      <c r="BJ29"/>
      <c r="BK29"/>
      <c r="BL29" s="8">
        <v>300</v>
      </c>
      <c r="BM29" s="8">
        <v>0</v>
      </c>
      <c r="BN29" s="8">
        <v>0</v>
      </c>
      <c r="BO29" s="8">
        <v>0</v>
      </c>
      <c r="BP29" s="8">
        <v>-300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t="s">
        <v>99</v>
      </c>
      <c r="BZ29" t="s">
        <v>126</v>
      </c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spans="1:108" x14ac:dyDescent="0.25">
      <c r="A30" t="s">
        <v>99</v>
      </c>
      <c r="B30" t="s">
        <v>100</v>
      </c>
      <c r="C30" t="s">
        <v>5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s="6" t="s">
        <v>106</v>
      </c>
      <c r="J30" s="6" t="s">
        <v>107</v>
      </c>
      <c r="K30" s="6" t="s">
        <v>226</v>
      </c>
      <c r="L30" s="6" t="s">
        <v>227</v>
      </c>
      <c r="M30" s="6" t="s">
        <v>228</v>
      </c>
      <c r="N30" s="6" t="s">
        <v>250</v>
      </c>
      <c r="O30" s="6" t="s">
        <v>112</v>
      </c>
      <c r="P30" s="6" t="s">
        <v>251</v>
      </c>
      <c r="Q30" s="6" t="s">
        <v>252</v>
      </c>
      <c r="R30" t="s">
        <v>112</v>
      </c>
      <c r="S30" t="s">
        <v>253</v>
      </c>
      <c r="T30"/>
      <c r="U30"/>
      <c r="V30" t="s">
        <v>116</v>
      </c>
      <c r="W30"/>
      <c r="X30"/>
      <c r="Y30" t="s">
        <v>116</v>
      </c>
      <c r="Z30"/>
      <c r="AA30"/>
      <c r="AB30" t="s">
        <v>116</v>
      </c>
      <c r="AC30"/>
      <c r="AD30"/>
      <c r="AE30" t="s">
        <v>116</v>
      </c>
      <c r="AF30" t="s">
        <v>117</v>
      </c>
      <c r="AG30" t="s">
        <v>118</v>
      </c>
      <c r="AH30" t="s">
        <v>119</v>
      </c>
      <c r="AI30" t="s">
        <v>254</v>
      </c>
      <c r="AJ30" t="s">
        <v>255</v>
      </c>
      <c r="AK30" t="s">
        <v>256</v>
      </c>
      <c r="AL30" t="s">
        <v>257</v>
      </c>
      <c r="AM30" t="s">
        <v>258</v>
      </c>
      <c r="AN30" t="s">
        <v>259</v>
      </c>
      <c r="AO30"/>
      <c r="AP30"/>
      <c r="AQ30" t="s">
        <v>116</v>
      </c>
      <c r="AR30"/>
      <c r="AS30"/>
      <c r="AT30" t="s">
        <v>116</v>
      </c>
      <c r="AU30"/>
      <c r="AV30"/>
      <c r="AW30" t="s">
        <v>116</v>
      </c>
      <c r="AX30"/>
      <c r="AY30"/>
      <c r="AZ30" t="s">
        <v>116</v>
      </c>
      <c r="BA30"/>
      <c r="BB30"/>
      <c r="BC30" t="s">
        <v>116</v>
      </c>
      <c r="BD30"/>
      <c r="BE30"/>
      <c r="BF30" t="s">
        <v>116</v>
      </c>
      <c r="BG30"/>
      <c r="BH30"/>
      <c r="BI30" t="s">
        <v>116</v>
      </c>
      <c r="BJ30"/>
      <c r="BK30"/>
      <c r="BL30" s="8">
        <v>5358.83</v>
      </c>
      <c r="BM30" s="8">
        <v>5358.83</v>
      </c>
      <c r="BN30" s="8">
        <v>5358.83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t="s">
        <v>99</v>
      </c>
      <c r="BZ30" t="s">
        <v>126</v>
      </c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x14ac:dyDescent="0.25">
      <c r="A31" t="s">
        <v>99</v>
      </c>
      <c r="B31" t="s">
        <v>100</v>
      </c>
      <c r="C31" t="s">
        <v>5</v>
      </c>
      <c r="D31" t="s">
        <v>101</v>
      </c>
      <c r="E31" t="s">
        <v>102</v>
      </c>
      <c r="F31" t="s">
        <v>103</v>
      </c>
      <c r="G31" t="s">
        <v>104</v>
      </c>
      <c r="H31" t="s">
        <v>260</v>
      </c>
      <c r="I31" s="6" t="s">
        <v>261</v>
      </c>
      <c r="J31" s="6" t="s">
        <v>262</v>
      </c>
      <c r="K31" s="6" t="s">
        <v>263</v>
      </c>
      <c r="L31" s="6" t="s">
        <v>264</v>
      </c>
      <c r="M31" s="6" t="s">
        <v>265</v>
      </c>
      <c r="N31" s="6" t="s">
        <v>266</v>
      </c>
      <c r="O31" s="6" t="s">
        <v>112</v>
      </c>
      <c r="P31" s="6" t="s">
        <v>267</v>
      </c>
      <c r="Q31" s="6" t="s">
        <v>268</v>
      </c>
      <c r="R31" t="s">
        <v>112</v>
      </c>
      <c r="S31" t="s">
        <v>269</v>
      </c>
      <c r="T31"/>
      <c r="U31"/>
      <c r="V31" t="s">
        <v>116</v>
      </c>
      <c r="W31"/>
      <c r="X31"/>
      <c r="Y31" t="s">
        <v>116</v>
      </c>
      <c r="Z31"/>
      <c r="AA31"/>
      <c r="AB31" t="s">
        <v>116</v>
      </c>
      <c r="AC31"/>
      <c r="AD31"/>
      <c r="AE31" t="s">
        <v>116</v>
      </c>
      <c r="AF31" t="s">
        <v>117</v>
      </c>
      <c r="AG31" t="s">
        <v>118</v>
      </c>
      <c r="AH31" t="s">
        <v>119</v>
      </c>
      <c r="AI31" t="s">
        <v>120</v>
      </c>
      <c r="AJ31" t="s">
        <v>121</v>
      </c>
      <c r="AK31" t="s">
        <v>122</v>
      </c>
      <c r="AL31" t="s">
        <v>270</v>
      </c>
      <c r="AM31" t="s">
        <v>271</v>
      </c>
      <c r="AN31" t="s">
        <v>272</v>
      </c>
      <c r="AO31"/>
      <c r="AP31"/>
      <c r="AQ31" t="s">
        <v>116</v>
      </c>
      <c r="AR31"/>
      <c r="AS31"/>
      <c r="AT31" t="s">
        <v>116</v>
      </c>
      <c r="AU31"/>
      <c r="AV31"/>
      <c r="AW31" t="s">
        <v>116</v>
      </c>
      <c r="AX31"/>
      <c r="AY31"/>
      <c r="AZ31" t="s">
        <v>116</v>
      </c>
      <c r="BA31"/>
      <c r="BB31"/>
      <c r="BC31" t="s">
        <v>116</v>
      </c>
      <c r="BD31"/>
      <c r="BE31"/>
      <c r="BF31" t="s">
        <v>116</v>
      </c>
      <c r="BG31"/>
      <c r="BH31"/>
      <c r="BI31" t="s">
        <v>116</v>
      </c>
      <c r="BJ31"/>
      <c r="BK31"/>
      <c r="BL31" s="8">
        <v>58350</v>
      </c>
      <c r="BM31" s="8">
        <v>46776.4</v>
      </c>
      <c r="BN31" s="8">
        <v>46776.4</v>
      </c>
      <c r="BO31" s="8">
        <v>0</v>
      </c>
      <c r="BP31" s="8">
        <v>-11573.6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t="s">
        <v>99</v>
      </c>
      <c r="BZ31" t="s">
        <v>126</v>
      </c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x14ac:dyDescent="0.25">
      <c r="A32" t="s">
        <v>99</v>
      </c>
      <c r="B32" t="s">
        <v>100</v>
      </c>
      <c r="C32" t="s">
        <v>5</v>
      </c>
      <c r="D32" t="s">
        <v>101</v>
      </c>
      <c r="E32" t="s">
        <v>102</v>
      </c>
      <c r="F32" t="s">
        <v>103</v>
      </c>
      <c r="G32" t="s">
        <v>104</v>
      </c>
      <c r="H32" t="s">
        <v>260</v>
      </c>
      <c r="I32" s="6" t="s">
        <v>261</v>
      </c>
      <c r="J32" s="6" t="s">
        <v>262</v>
      </c>
      <c r="K32" s="6" t="s">
        <v>263</v>
      </c>
      <c r="L32" s="6" t="s">
        <v>264</v>
      </c>
      <c r="M32" s="6" t="s">
        <v>265</v>
      </c>
      <c r="N32" s="6" t="s">
        <v>273</v>
      </c>
      <c r="O32" s="6" t="s">
        <v>112</v>
      </c>
      <c r="P32" s="6" t="s">
        <v>274</v>
      </c>
      <c r="Q32" s="6" t="s">
        <v>275</v>
      </c>
      <c r="R32" t="s">
        <v>112</v>
      </c>
      <c r="S32" t="s">
        <v>276</v>
      </c>
      <c r="T32"/>
      <c r="U32"/>
      <c r="V32" t="s">
        <v>116</v>
      </c>
      <c r="W32"/>
      <c r="X32"/>
      <c r="Y32" t="s">
        <v>116</v>
      </c>
      <c r="Z32"/>
      <c r="AA32"/>
      <c r="AB32" t="s">
        <v>116</v>
      </c>
      <c r="AC32"/>
      <c r="AD32"/>
      <c r="AE32" t="s">
        <v>116</v>
      </c>
      <c r="AF32" t="s">
        <v>117</v>
      </c>
      <c r="AG32" t="s">
        <v>118</v>
      </c>
      <c r="AH32" t="s">
        <v>119</v>
      </c>
      <c r="AI32" t="s">
        <v>120</v>
      </c>
      <c r="AJ32" t="s">
        <v>121</v>
      </c>
      <c r="AK32" t="s">
        <v>122</v>
      </c>
      <c r="AL32" t="s">
        <v>277</v>
      </c>
      <c r="AM32" t="s">
        <v>278</v>
      </c>
      <c r="AN32" t="s">
        <v>279</v>
      </c>
      <c r="AO32"/>
      <c r="AP32"/>
      <c r="AQ32" t="s">
        <v>116</v>
      </c>
      <c r="AR32"/>
      <c r="AS32"/>
      <c r="AT32" t="s">
        <v>116</v>
      </c>
      <c r="AU32"/>
      <c r="AV32"/>
      <c r="AW32" t="s">
        <v>116</v>
      </c>
      <c r="AX32"/>
      <c r="AY32"/>
      <c r="AZ32" t="s">
        <v>116</v>
      </c>
      <c r="BA32"/>
      <c r="BB32"/>
      <c r="BC32" t="s">
        <v>116</v>
      </c>
      <c r="BD32"/>
      <c r="BE32"/>
      <c r="BF32" t="s">
        <v>116</v>
      </c>
      <c r="BG32"/>
      <c r="BH32"/>
      <c r="BI32" t="s">
        <v>116</v>
      </c>
      <c r="BJ32"/>
      <c r="BK32"/>
      <c r="BL32" s="8">
        <v>400</v>
      </c>
      <c r="BM32" s="8">
        <v>925</v>
      </c>
      <c r="BN32" s="8">
        <v>925</v>
      </c>
      <c r="BO32" s="8">
        <v>0</v>
      </c>
      <c r="BP32" s="8">
        <v>525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t="s">
        <v>99</v>
      </c>
      <c r="BZ32" t="s">
        <v>126</v>
      </c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</row>
    <row r="33" spans="1:108" x14ac:dyDescent="0.25">
      <c r="A33" t="s">
        <v>99</v>
      </c>
      <c r="B33" t="s">
        <v>100</v>
      </c>
      <c r="C33" t="s">
        <v>5</v>
      </c>
      <c r="D33" t="s">
        <v>101</v>
      </c>
      <c r="E33" t="s">
        <v>102</v>
      </c>
      <c r="F33" t="s">
        <v>103</v>
      </c>
      <c r="G33" t="s">
        <v>104</v>
      </c>
      <c r="H33" t="s">
        <v>260</v>
      </c>
      <c r="I33" s="6" t="s">
        <v>261</v>
      </c>
      <c r="J33" s="6" t="s">
        <v>262</v>
      </c>
      <c r="K33" s="6" t="s">
        <v>263</v>
      </c>
      <c r="L33" s="6" t="s">
        <v>264</v>
      </c>
      <c r="M33" s="6" t="s">
        <v>265</v>
      </c>
      <c r="N33" s="6" t="s">
        <v>280</v>
      </c>
      <c r="O33" s="6" t="s">
        <v>112</v>
      </c>
      <c r="P33" s="6" t="s">
        <v>281</v>
      </c>
      <c r="Q33" s="6" t="s">
        <v>282</v>
      </c>
      <c r="R33" t="s">
        <v>112</v>
      </c>
      <c r="S33" t="s">
        <v>283</v>
      </c>
      <c r="T33"/>
      <c r="U33"/>
      <c r="V33" t="s">
        <v>116</v>
      </c>
      <c r="W33"/>
      <c r="X33"/>
      <c r="Y33" t="s">
        <v>116</v>
      </c>
      <c r="Z33"/>
      <c r="AA33"/>
      <c r="AB33" t="s">
        <v>116</v>
      </c>
      <c r="AC33"/>
      <c r="AD33"/>
      <c r="AE33" t="s">
        <v>116</v>
      </c>
      <c r="AF33" t="s">
        <v>117</v>
      </c>
      <c r="AG33" t="s">
        <v>118</v>
      </c>
      <c r="AH33" t="s">
        <v>119</v>
      </c>
      <c r="AI33" t="s">
        <v>120</v>
      </c>
      <c r="AJ33" t="s">
        <v>121</v>
      </c>
      <c r="AK33" t="s">
        <v>122</v>
      </c>
      <c r="AL33" t="s">
        <v>284</v>
      </c>
      <c r="AM33" t="s">
        <v>285</v>
      </c>
      <c r="AN33" t="s">
        <v>286</v>
      </c>
      <c r="AO33"/>
      <c r="AP33"/>
      <c r="AQ33" t="s">
        <v>116</v>
      </c>
      <c r="AR33"/>
      <c r="AS33"/>
      <c r="AT33" t="s">
        <v>116</v>
      </c>
      <c r="AU33"/>
      <c r="AV33"/>
      <c r="AW33" t="s">
        <v>116</v>
      </c>
      <c r="AX33"/>
      <c r="AY33"/>
      <c r="AZ33" t="s">
        <v>116</v>
      </c>
      <c r="BA33"/>
      <c r="BB33"/>
      <c r="BC33" t="s">
        <v>116</v>
      </c>
      <c r="BD33"/>
      <c r="BE33"/>
      <c r="BF33" t="s">
        <v>116</v>
      </c>
      <c r="BG33"/>
      <c r="BH33"/>
      <c r="BI33" t="s">
        <v>116</v>
      </c>
      <c r="BJ33"/>
      <c r="BK33"/>
      <c r="BL33" s="8">
        <v>147309.9</v>
      </c>
      <c r="BM33" s="8">
        <v>147309.9</v>
      </c>
      <c r="BN33" s="8">
        <v>147309.9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t="s">
        <v>99</v>
      </c>
      <c r="BZ33" t="s">
        <v>126</v>
      </c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spans="1:108" x14ac:dyDescent="0.25">
      <c r="A34" t="s">
        <v>99</v>
      </c>
      <c r="B34" t="s">
        <v>100</v>
      </c>
      <c r="C34" t="s">
        <v>5</v>
      </c>
      <c r="D34" t="s">
        <v>101</v>
      </c>
      <c r="E34" t="s">
        <v>102</v>
      </c>
      <c r="F34" t="s">
        <v>103</v>
      </c>
      <c r="G34" t="s">
        <v>104</v>
      </c>
      <c r="H34" t="s">
        <v>260</v>
      </c>
      <c r="I34" s="6" t="s">
        <v>261</v>
      </c>
      <c r="J34" s="6" t="s">
        <v>262</v>
      </c>
      <c r="K34" s="6" t="s">
        <v>263</v>
      </c>
      <c r="L34" s="6" t="s">
        <v>264</v>
      </c>
      <c r="M34" s="6" t="s">
        <v>265</v>
      </c>
      <c r="N34" s="6" t="s">
        <v>280</v>
      </c>
      <c r="O34" s="6" t="s">
        <v>112</v>
      </c>
      <c r="P34" s="6" t="s">
        <v>281</v>
      </c>
      <c r="Q34" s="6" t="s">
        <v>287</v>
      </c>
      <c r="R34" t="s">
        <v>112</v>
      </c>
      <c r="S34" t="s">
        <v>288</v>
      </c>
      <c r="T34"/>
      <c r="U34"/>
      <c r="V34" t="s">
        <v>116</v>
      </c>
      <c r="W34"/>
      <c r="X34"/>
      <c r="Y34" t="s">
        <v>116</v>
      </c>
      <c r="Z34"/>
      <c r="AA34"/>
      <c r="AB34" t="s">
        <v>116</v>
      </c>
      <c r="AC34"/>
      <c r="AD34"/>
      <c r="AE34" t="s">
        <v>116</v>
      </c>
      <c r="AF34" t="s">
        <v>117</v>
      </c>
      <c r="AG34" t="s">
        <v>118</v>
      </c>
      <c r="AH34" t="s">
        <v>119</v>
      </c>
      <c r="AI34" t="s">
        <v>120</v>
      </c>
      <c r="AJ34" t="s">
        <v>121</v>
      </c>
      <c r="AK34" t="s">
        <v>122</v>
      </c>
      <c r="AL34" t="s">
        <v>289</v>
      </c>
      <c r="AM34" t="s">
        <v>290</v>
      </c>
      <c r="AN34" t="s">
        <v>291</v>
      </c>
      <c r="AO34"/>
      <c r="AP34"/>
      <c r="AQ34" t="s">
        <v>116</v>
      </c>
      <c r="AR34"/>
      <c r="AS34"/>
      <c r="AT34" t="s">
        <v>116</v>
      </c>
      <c r="AU34"/>
      <c r="AV34"/>
      <c r="AW34" t="s">
        <v>116</v>
      </c>
      <c r="AX34"/>
      <c r="AY34"/>
      <c r="AZ34" t="s">
        <v>116</v>
      </c>
      <c r="BA34"/>
      <c r="BB34"/>
      <c r="BC34" t="s">
        <v>116</v>
      </c>
      <c r="BD34"/>
      <c r="BE34"/>
      <c r="BF34" t="s">
        <v>116</v>
      </c>
      <c r="BG34"/>
      <c r="BH34"/>
      <c r="BI34" t="s">
        <v>116</v>
      </c>
      <c r="BJ34"/>
      <c r="BK34"/>
      <c r="BL34" s="8">
        <v>1439.75</v>
      </c>
      <c r="BM34" s="8">
        <v>914.75</v>
      </c>
      <c r="BN34" s="8">
        <v>914.75</v>
      </c>
      <c r="BO34" s="8">
        <v>0</v>
      </c>
      <c r="BP34" s="8">
        <v>-525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t="s">
        <v>99</v>
      </c>
      <c r="BZ34" t="s">
        <v>126</v>
      </c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  <row r="35" spans="1:108" x14ac:dyDescent="0.25">
      <c r="A35" t="s">
        <v>99</v>
      </c>
      <c r="B35" t="s">
        <v>100</v>
      </c>
      <c r="C35" t="s">
        <v>5</v>
      </c>
      <c r="D35" t="s">
        <v>101</v>
      </c>
      <c r="E35" t="s">
        <v>292</v>
      </c>
      <c r="F35" t="s">
        <v>293</v>
      </c>
      <c r="G35" t="s">
        <v>294</v>
      </c>
      <c r="H35" t="s">
        <v>295</v>
      </c>
      <c r="I35" s="6" t="s">
        <v>296</v>
      </c>
      <c r="J35" s="6" t="s">
        <v>297</v>
      </c>
      <c r="K35" s="6" t="s">
        <v>298</v>
      </c>
      <c r="L35" s="6" t="s">
        <v>299</v>
      </c>
      <c r="M35" s="6" t="s">
        <v>300</v>
      </c>
      <c r="N35" s="6" t="s">
        <v>301</v>
      </c>
      <c r="O35" s="6" t="s">
        <v>112</v>
      </c>
      <c r="P35" s="6" t="s">
        <v>302</v>
      </c>
      <c r="Q35" s="6" t="s">
        <v>303</v>
      </c>
      <c r="R35" t="s">
        <v>112</v>
      </c>
      <c r="S35" t="s">
        <v>304</v>
      </c>
      <c r="T35"/>
      <c r="U35"/>
      <c r="V35" t="s">
        <v>116</v>
      </c>
      <c r="W35"/>
      <c r="X35"/>
      <c r="Y35" t="s">
        <v>116</v>
      </c>
      <c r="Z35"/>
      <c r="AA35"/>
      <c r="AB35" t="s">
        <v>116</v>
      </c>
      <c r="AC35"/>
      <c r="AD35"/>
      <c r="AE35" t="s">
        <v>116</v>
      </c>
      <c r="AF35" t="s">
        <v>117</v>
      </c>
      <c r="AG35" t="s">
        <v>118</v>
      </c>
      <c r="AH35" t="s">
        <v>119</v>
      </c>
      <c r="AI35" t="s">
        <v>120</v>
      </c>
      <c r="AJ35" t="s">
        <v>121</v>
      </c>
      <c r="AK35" t="s">
        <v>122</v>
      </c>
      <c r="AL35" t="s">
        <v>305</v>
      </c>
      <c r="AM35" t="s">
        <v>306</v>
      </c>
      <c r="AN35" t="s">
        <v>307</v>
      </c>
      <c r="AO35"/>
      <c r="AP35"/>
      <c r="AQ35" t="s">
        <v>116</v>
      </c>
      <c r="AR35"/>
      <c r="AS35"/>
      <c r="AT35" t="s">
        <v>116</v>
      </c>
      <c r="AU35"/>
      <c r="AV35"/>
      <c r="AW35" t="s">
        <v>116</v>
      </c>
      <c r="AX35"/>
      <c r="AY35"/>
      <c r="AZ35" t="s">
        <v>116</v>
      </c>
      <c r="BA35"/>
      <c r="BB35"/>
      <c r="BC35" t="s">
        <v>116</v>
      </c>
      <c r="BD35"/>
      <c r="BE35"/>
      <c r="BF35" t="s">
        <v>116</v>
      </c>
      <c r="BG35"/>
      <c r="BH35"/>
      <c r="BI35" t="s">
        <v>116</v>
      </c>
      <c r="BJ35"/>
      <c r="BK35"/>
      <c r="BL35" s="8">
        <v>1000</v>
      </c>
      <c r="BM35" s="8">
        <v>0</v>
      </c>
      <c r="BN35" s="8">
        <v>0</v>
      </c>
      <c r="BO35" s="8">
        <v>0</v>
      </c>
      <c r="BP35" s="8">
        <v>-1000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t="s">
        <v>99</v>
      </c>
      <c r="BZ35" t="s">
        <v>126</v>
      </c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ECBU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2021-11-19T10:53:58Z</cp:lastPrinted>
  <dcterms:created xsi:type="dcterms:W3CDTF">2014-10-10T13:20:55Z</dcterms:created>
  <dcterms:modified xsi:type="dcterms:W3CDTF">2026-03-30T15:55:35Z</dcterms:modified>
</cp:coreProperties>
</file>
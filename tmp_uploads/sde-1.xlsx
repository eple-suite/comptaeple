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hidePivotFieldList="1"/>
  <mc:AlternateContent xmlns:mc="http://schemas.openxmlformats.org/markup-compatibility/2006">
    <mc:Choice Requires="x15">
      <x15ac:absPath xmlns:x15ac="http://schemas.microsoft.com/office/spreadsheetml/2010/11/ac" url="Y:\Agence comptable\01_collège Maurice SATINEAU\05_op@le\2025\04_comptabilité\04_travaux périodiques\REPROFI4.6_clg_satineau\EXTRACTIONS\"/>
    </mc:Choice>
  </mc:AlternateContent>
  <xr:revisionPtr revIDLastSave="0" documentId="8_{FED82D1D-5FA6-4707-B594-9AD16D84EAAE}" xr6:coauthVersionLast="36" xr6:coauthVersionMax="36" xr10:uidLastSave="{00000000-0000-0000-0000-000000000000}"/>
  <bookViews>
    <workbookView xWindow="0" yWindow="0" windowWidth="28800" windowHeight="12225" xr2:uid="{00000000-000D-0000-FFFF-FFFF00000000}"/>
  </bookViews>
  <sheets>
    <sheet name="ECBU" sheetId="3" r:id="rId1"/>
    <sheet name="Donnees" sheetId="2" r:id="rId2"/>
  </sheets>
  <calcPr calcId="191029"/>
  <pivotCaches>
    <pivotCache cacheId="137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" i="2" l="1"/>
  <c r="H1" i="2"/>
  <c r="F1" i="2"/>
  <c r="D1" i="2"/>
  <c r="B1" i="2"/>
  <c r="H4" i="3" l="1"/>
  <c r="G4" i="3"/>
  <c r="F4" i="3"/>
  <c r="E4" i="3"/>
  <c r="D4" i="3"/>
  <c r="G2" i="3" l="1"/>
  <c r="C2" i="3" l="1"/>
  <c r="B2" i="3" l="1"/>
</calcChain>
</file>

<file path=xl/sharedStrings.xml><?xml version="1.0" encoding="utf-8"?>
<sst xmlns="http://schemas.openxmlformats.org/spreadsheetml/2006/main" count="7841" uniqueCount="462">
  <si>
    <t>Job :</t>
  </si>
  <si>
    <t>Utilisateur :</t>
  </si>
  <si>
    <t>Date :</t>
  </si>
  <si>
    <t>Compte</t>
  </si>
  <si>
    <t>CGR</t>
  </si>
  <si>
    <t>Etablissement</t>
  </si>
  <si>
    <t>Job</t>
  </si>
  <si>
    <t>Date</t>
  </si>
  <si>
    <t>Total général</t>
  </si>
  <si>
    <t>Intutilé réduit</t>
  </si>
  <si>
    <t>CGR de niveau 1</t>
  </si>
  <si>
    <t>CGR de niveau 2</t>
  </si>
  <si>
    <t>CGR de niveau 3</t>
  </si>
  <si>
    <t>CGR de niveau 4</t>
  </si>
  <si>
    <t>CGR de niveau 5</t>
  </si>
  <si>
    <t>CGR de niveau 6</t>
  </si>
  <si>
    <t>CGR de niveau 7</t>
  </si>
  <si>
    <t>CGR de niveau 8</t>
  </si>
  <si>
    <t>CGR de niveau 9</t>
  </si>
  <si>
    <t>Poste de niveau 1</t>
  </si>
  <si>
    <t>Poste de niveau 2</t>
  </si>
  <si>
    <t>Poste de niveau 3</t>
  </si>
  <si>
    <t>Poste de niveau 4</t>
  </si>
  <si>
    <t>Poste de niveau 5</t>
  </si>
  <si>
    <t>Poste de niveau 6</t>
  </si>
  <si>
    <t>Poste de niveau 7</t>
  </si>
  <si>
    <t>Poste de niveau 8</t>
  </si>
  <si>
    <t>Poste de niveau 9</t>
  </si>
  <si>
    <t>Montant colonne 1</t>
  </si>
  <si>
    <t>Montant colonne 2</t>
  </si>
  <si>
    <t>Montant colonne 3</t>
  </si>
  <si>
    <t>Montant colonne 4</t>
  </si>
  <si>
    <t>Montant colonne 5</t>
  </si>
  <si>
    <t>Montant colonne 6</t>
  </si>
  <si>
    <t>Montant colonne 7</t>
  </si>
  <si>
    <t>Montant colonne 8</t>
  </si>
  <si>
    <t>Montant colonne 9</t>
  </si>
  <si>
    <t>Montant colonne 10</t>
  </si>
  <si>
    <t>Montant colonne 11</t>
  </si>
  <si>
    <t>Montant colonne 12</t>
  </si>
  <si>
    <t>Montant colonne 13</t>
  </si>
  <si>
    <t>Etablissement si un seul sélectionné</t>
  </si>
  <si>
    <t xml:space="preserve">Utilisateur </t>
  </si>
  <si>
    <t>Colonne 1</t>
  </si>
  <si>
    <t>Colonne 2</t>
  </si>
  <si>
    <t>Colonne 3</t>
  </si>
  <si>
    <t>Colonne 4</t>
  </si>
  <si>
    <t>Colonne 5</t>
  </si>
  <si>
    <t>Colonne 6</t>
  </si>
  <si>
    <t>Colonne 7</t>
  </si>
  <si>
    <t>Colonne 8</t>
  </si>
  <si>
    <t>Colonne 9</t>
  </si>
  <si>
    <t>Colonne 10</t>
  </si>
  <si>
    <t>Colonne 11</t>
  </si>
  <si>
    <t>Colonne 12</t>
  </si>
  <si>
    <t>Colonne 13</t>
  </si>
  <si>
    <t>Somme de Montant colonne 1</t>
  </si>
  <si>
    <t>Somme de Montant colonne 2</t>
  </si>
  <si>
    <t>Somme de Montant colonne 3</t>
  </si>
  <si>
    <t>Somme de Montant colonne 4</t>
  </si>
  <si>
    <t>Somme de Montant colonne 5</t>
  </si>
  <si>
    <t>CGR et intitulé réduit 1</t>
  </si>
  <si>
    <t>CGR et intitulé réduit 2</t>
  </si>
  <si>
    <t>CGR et intitulé réduit 3</t>
  </si>
  <si>
    <t>CGR et intitulé réduit 4</t>
  </si>
  <si>
    <t>CGR et intitulé réduit 5</t>
  </si>
  <si>
    <t>CGR et intitulé réduit 6</t>
  </si>
  <si>
    <t>CGR et intitulé réduit 7</t>
  </si>
  <si>
    <t>CGR et intitulé réduit 8</t>
  </si>
  <si>
    <t>CGR et intitulé réduit 9</t>
  </si>
  <si>
    <t>CGR de niveau 10</t>
  </si>
  <si>
    <t>CGR et intitulé réduit 10</t>
  </si>
  <si>
    <t>Poste et intitulé réduit 1</t>
  </si>
  <si>
    <t>Poste et intitulé réduit 2</t>
  </si>
  <si>
    <t>Poste et intitulé réduit 3</t>
  </si>
  <si>
    <t>Poste et intitulé réduit 4</t>
  </si>
  <si>
    <t>Poste et intitulé réduit 5</t>
  </si>
  <si>
    <t>Poste et intitulé réduit 6</t>
  </si>
  <si>
    <t>Poste et intitulé réduit 7</t>
  </si>
  <si>
    <t>Poste et intitulé réduit 8</t>
  </si>
  <si>
    <t>Poste et intitulé réduit 9</t>
  </si>
  <si>
    <t>Poste de niveau 10</t>
  </si>
  <si>
    <t>Poste et intitulé réduit 10</t>
  </si>
  <si>
    <t>Etablissement :</t>
  </si>
  <si>
    <t>Intitulé réduit</t>
  </si>
  <si>
    <t>Colonne 1 ligne 2</t>
  </si>
  <si>
    <t>Colonne 2 ligne 2</t>
  </si>
  <si>
    <t>Colonne 3 ligne 2</t>
  </si>
  <si>
    <t>Colonne 4 ligne 2</t>
  </si>
  <si>
    <t>Colonne 5 ligne 2</t>
  </si>
  <si>
    <t>Colonne 6 ligne 2</t>
  </si>
  <si>
    <t>Colonne 7 ligne 2</t>
  </si>
  <si>
    <t>Colonne 8 ligne 2</t>
  </si>
  <si>
    <t>Colonne 9 ligne 2</t>
  </si>
  <si>
    <t>Colonne 10 ligne 2</t>
  </si>
  <si>
    <t>Colonne 11 ligne 2</t>
  </si>
  <si>
    <t>Colonne 12 ligne 2</t>
  </si>
  <si>
    <t>Colonne 13 ligne 2</t>
  </si>
  <si>
    <t>SITUATION DES DEPENSES ENGAGEES</t>
  </si>
  <si>
    <t>P03427</t>
  </si>
  <si>
    <t>ETS</t>
  </si>
  <si>
    <t>ETS - Etablissement</t>
  </si>
  <si>
    <t>FONC</t>
  </si>
  <si>
    <t>FONCTIONNEMENT</t>
  </si>
  <si>
    <t>FONC - FONCTIONNEMENT</t>
  </si>
  <si>
    <t>SG</t>
  </si>
  <si>
    <t>SERVICES GENERAUX </t>
  </si>
  <si>
    <t>SG - SERVICES GENERAUX </t>
  </si>
  <si>
    <t>AP</t>
  </si>
  <si>
    <t>ACTIVITES PEDAGO. </t>
  </si>
  <si>
    <t>AP - ACTIVITES PEDAGO. </t>
  </si>
  <si>
    <t>AP        ASSOC</t>
  </si>
  <si>
    <t>_</t>
  </si>
  <si>
    <t>AP        ASSOC - _</t>
  </si>
  <si>
    <t>AP        ASSOC     2FOYER</t>
  </si>
  <si>
    <t>AP        ASSOC     2FOYER - _</t>
  </si>
  <si>
    <t>-</t>
  </si>
  <si>
    <t>DEP</t>
  </si>
  <si>
    <t>Total Dépenses</t>
  </si>
  <si>
    <t>DEP - Total Dépenses</t>
  </si>
  <si>
    <t>DEPENSES/F</t>
  </si>
  <si>
    <t>Dépenses niveau fin</t>
  </si>
  <si>
    <t>DEPENSES/F - Dépenses niveau fin</t>
  </si>
  <si>
    <t>9710040S</t>
  </si>
  <si>
    <t>102046083</t>
  </si>
  <si>
    <t>032FRANTZFRANCOISC01</t>
  </si>
  <si>
    <t>30/03/2026</t>
  </si>
  <si>
    <t>Budget</t>
  </si>
  <si>
    <t>Engagé</t>
  </si>
  <si>
    <t>Réalisé comptable</t>
  </si>
  <si>
    <t>En cours</t>
  </si>
  <si>
    <t>Disponible</t>
  </si>
  <si>
    <t>AP        ASSOC     2UNSS</t>
  </si>
  <si>
    <t>AP        ASSOC     2UNSS - _</t>
  </si>
  <si>
    <t>AP        BOP141</t>
  </si>
  <si>
    <t>AP        BOP141 - _</t>
  </si>
  <si>
    <t>AP        BOP141    13ADP</t>
  </si>
  <si>
    <t>AP        BOP141    13ADP - _</t>
  </si>
  <si>
    <t>AP        BOP141    13AIP</t>
  </si>
  <si>
    <t>AP        BOP141    13AIP - _</t>
  </si>
  <si>
    <t>624000</t>
  </si>
  <si>
    <t>TRANSP.B&amp;P. H.VOY.S.</t>
  </si>
  <si>
    <t>624000 - TRANSP.B&amp;P. H.VOY.S.</t>
  </si>
  <si>
    <t>AP        BOP141    13COR</t>
  </si>
  <si>
    <t>AP        BOP141    13COR - _</t>
  </si>
  <si>
    <t>606400</t>
  </si>
  <si>
    <t>FOURN.ADMINISTRATIVE</t>
  </si>
  <si>
    <t>606400 - FOURN.ADMINISTRATIVE</t>
  </si>
  <si>
    <t>AP        BOP141    13CR-</t>
  </si>
  <si>
    <t>AP        BOP141    13CR- - _</t>
  </si>
  <si>
    <t>AP        BOP141    13EAC</t>
  </si>
  <si>
    <t>AP        BOP141    13EAC - _</t>
  </si>
  <si>
    <t>AP        BOP141    13MS-</t>
  </si>
  <si>
    <t>AP        BOP141    13MS- - _</t>
  </si>
  <si>
    <t>606210</t>
  </si>
  <si>
    <t>MANUELS SCOLAIRES</t>
  </si>
  <si>
    <t>606210 - MANUELS SCOLAIRES</t>
  </si>
  <si>
    <t>AP        BOP141    13REP</t>
  </si>
  <si>
    <t>AP        BOP141    13REP - _</t>
  </si>
  <si>
    <t>651600</t>
  </si>
  <si>
    <t>DROITS AUTEUR REPRO.</t>
  </si>
  <si>
    <t>651600 - DROITS AUTEUR REPRO.</t>
  </si>
  <si>
    <t>AP        BOP141    13TIC</t>
  </si>
  <si>
    <t>AP        BOP141    13TIC - _</t>
  </si>
  <si>
    <t>606800</t>
  </si>
  <si>
    <t>MAT.MOB.OUT.NON IMM.</t>
  </si>
  <si>
    <t>606800 - MAT.MOB.OUT.NON IMM.</t>
  </si>
  <si>
    <t>651100</t>
  </si>
  <si>
    <t>REDEV.CONCESS.BREV.</t>
  </si>
  <si>
    <t>651100 - REDEV.CONCESS.BREV.</t>
  </si>
  <si>
    <t>AP        ENSGEN</t>
  </si>
  <si>
    <t>AP        ENSGEN - _</t>
  </si>
  <si>
    <t>AP        ENSGEN    0DIVERS</t>
  </si>
  <si>
    <t>AP        ENSGEN    0DIVERS - _</t>
  </si>
  <si>
    <t>606700</t>
  </si>
  <si>
    <t>F.MAT.ENS. NON IMM.</t>
  </si>
  <si>
    <t>606700 - F.MAT.ENS. NON IMM.</t>
  </si>
  <si>
    <t>AP        ENSGEN    0SORTIES</t>
  </si>
  <si>
    <t>AP        ENSGEN    0SORTIES - _</t>
  </si>
  <si>
    <t>611100</t>
  </si>
  <si>
    <t>/S-TRAIT. REST. H.</t>
  </si>
  <si>
    <t>611100 - /S-TRAIT. REST. H.</t>
  </si>
  <si>
    <t>625112</t>
  </si>
  <si>
    <t>VOY.DEPL.EL. SORTIES</t>
  </si>
  <si>
    <t>625112 - VOY.DEPL.EL. SORTIES</t>
  </si>
  <si>
    <t>AP        ENSGEN    2CDI</t>
  </si>
  <si>
    <t>AP        ENSGEN    2CDI - _</t>
  </si>
  <si>
    <t>606220</t>
  </si>
  <si>
    <t>OUVRAGES CDI</t>
  </si>
  <si>
    <t>606220 - OUVRAGES CDI</t>
  </si>
  <si>
    <t>606230</t>
  </si>
  <si>
    <t>DOC. ADMIN.</t>
  </si>
  <si>
    <t>606230 - DOC. ADMIN.</t>
  </si>
  <si>
    <t>618120</t>
  </si>
  <si>
    <t>OUVR. NUMERIQ. CDI</t>
  </si>
  <si>
    <t>618120 - OUVR. NUMERIQ. CDI</t>
  </si>
  <si>
    <t>AP        ENSGEN    2CONCOURS</t>
  </si>
  <si>
    <t>AP        ENSGEN    2CONCOURS - _</t>
  </si>
  <si>
    <t>628600</t>
  </si>
  <si>
    <t>CONCOURS DIVERS</t>
  </si>
  <si>
    <t>628600 - CONCOURS DIVERS</t>
  </si>
  <si>
    <t>AP        ENSGEN    2DISCIPLI</t>
  </si>
  <si>
    <t>AP        ENSGEN    2DISCIPLI - _</t>
  </si>
  <si>
    <t>601100</t>
  </si>
  <si>
    <t>ACHATS DE DENREES</t>
  </si>
  <si>
    <t>601100 - ACHATS DE DENREES</t>
  </si>
  <si>
    <t>AP        ENSGEN    2DIVERS</t>
  </si>
  <si>
    <t>AP        ENSGEN    2DIVERS - _</t>
  </si>
  <si>
    <t>AP        ENSGEN    2SORTIES</t>
  </si>
  <si>
    <t>AP        ENSGEN    2SORTIES - _</t>
  </si>
  <si>
    <t>AP        ENSGEN    2SPEE</t>
  </si>
  <si>
    <t>AP        ENSGEN    2SPEE - _</t>
  </si>
  <si>
    <t>AP        ENSGEN    2ULIS</t>
  </si>
  <si>
    <t>AP        ENSGEN    2ULIS - _</t>
  </si>
  <si>
    <t>622000</t>
  </si>
  <si>
    <t>REMUN.INTERM.HONOR.</t>
  </si>
  <si>
    <t>622000 - REMUN.INTERM.HONOR.</t>
  </si>
  <si>
    <t>AP        EPS</t>
  </si>
  <si>
    <t>AP        EPS - _</t>
  </si>
  <si>
    <t>AP        EPS       2DEPSLOC</t>
  </si>
  <si>
    <t>AP        EPS       2DEPSLOC - _</t>
  </si>
  <si>
    <t>613200</t>
  </si>
  <si>
    <t>AUTRES LOCATIONS</t>
  </si>
  <si>
    <t>613200 - AUTRES LOCATIONS</t>
  </si>
  <si>
    <t>AP        EPS       2DEPSTRAN</t>
  </si>
  <si>
    <t>AP        EPS       2DEPSTRAN - _</t>
  </si>
  <si>
    <t>AP        EPS       2SPEEEPS</t>
  </si>
  <si>
    <t>AP        EPS       2SPEEEPS - _</t>
  </si>
  <si>
    <t>AP        PROJET</t>
  </si>
  <si>
    <t>AP        PROJET - _</t>
  </si>
  <si>
    <t>AP        PROJET    0ATAUDIOV</t>
  </si>
  <si>
    <t>AP        PROJET    0ATAUDIOV - _</t>
  </si>
  <si>
    <t>AP        PROJET    0DACAUDIO</t>
  </si>
  <si>
    <t>AP        PROJET    0DACAUDIO - _</t>
  </si>
  <si>
    <t>AP        PROJET    0DACMANGA</t>
  </si>
  <si>
    <t>AP        PROJET    0DACMANGA - _</t>
  </si>
  <si>
    <t>AP        PROJET    0DACTHEA</t>
  </si>
  <si>
    <t>AP        PROJET    0DACTHEA - _</t>
  </si>
  <si>
    <t>621000</t>
  </si>
  <si>
    <t>PERS. EXT. A L’ETAB.</t>
  </si>
  <si>
    <t>621000 - PERS. EXT. A L’ETAB.</t>
  </si>
  <si>
    <t>AP        PROJET    13ADPTHEA</t>
  </si>
  <si>
    <t>AP        PROJET    13ADPTHEA - _</t>
  </si>
  <si>
    <t>AP        PROJET    2AUDIOVIS</t>
  </si>
  <si>
    <t>AP        PROJET    2AUDIOVIS - _</t>
  </si>
  <si>
    <t>AP        PROJET    2JADEN</t>
  </si>
  <si>
    <t>AP        PROJET    2JADEN - _</t>
  </si>
  <si>
    <t>AP        PROJET    2PROJET</t>
  </si>
  <si>
    <t>AP        PROJET    2PROJET - _</t>
  </si>
  <si>
    <t>AP        PROJET    2THEATRE</t>
  </si>
  <si>
    <t>AP        PROJET    2THEATRE - _</t>
  </si>
  <si>
    <t>VE</t>
  </si>
  <si>
    <t>VIE DE L'ELEVE</t>
  </si>
  <si>
    <t>VE - VIE DE L'ELEVE</t>
  </si>
  <si>
    <t>VE        AEDREM</t>
  </si>
  <si>
    <t>VE        AEDREM - _</t>
  </si>
  <si>
    <t>VE        AEDREM    16AED</t>
  </si>
  <si>
    <t>VE        AEDREM    16AED - _</t>
  </si>
  <si>
    <t>644700</t>
  </si>
  <si>
    <t>REMUN. ASSIST. EDUC.</t>
  </si>
  <si>
    <t>644700 - REMUN. ASSIST. EDUC.</t>
  </si>
  <si>
    <t>VE        BOP230</t>
  </si>
  <si>
    <t>VE        BOP230 - _</t>
  </si>
  <si>
    <t>VE        BOP230    16EO-</t>
  </si>
  <si>
    <t>VE        BOP230    16EO- - _</t>
  </si>
  <si>
    <t>VE        BOP230    16ESC</t>
  </si>
  <si>
    <t>VE        BOP230    16ESC - _</t>
  </si>
  <si>
    <t>625700</t>
  </si>
  <si>
    <t>FRAIS RECEP.(P.EXT.)</t>
  </si>
  <si>
    <t>625700 - FRAIS RECEP.(P.EXT.)</t>
  </si>
  <si>
    <t>VE        BOP230    16FS-</t>
  </si>
  <si>
    <t>VE        BOP230    16FS- - _</t>
  </si>
  <si>
    <t>657610</t>
  </si>
  <si>
    <t>AIDE SOCIALE EL.ETAT</t>
  </si>
  <si>
    <t>657610 - AIDE SOCIALE EL.ETAT</t>
  </si>
  <si>
    <t>VE        BOP230    16FSC</t>
  </si>
  <si>
    <t>VE        BOP230    16FSC - _</t>
  </si>
  <si>
    <t>ALO</t>
  </si>
  <si>
    <t>ADMIN ET LOGISTIQUE</t>
  </si>
  <si>
    <t>ALO - ADMIN ET LOGISTIQUE</t>
  </si>
  <si>
    <t>ALO       ADMIN</t>
  </si>
  <si>
    <t>ALO       ADMIN - _</t>
  </si>
  <si>
    <t>ALO       ADMIN     0DIVERS</t>
  </si>
  <si>
    <t>ALO       ADMIN     0DIVERS - _</t>
  </si>
  <si>
    <t>ALO       ADMIN     0EQUIP</t>
  </si>
  <si>
    <t>ALO       ADMIN     0EQUIP - _</t>
  </si>
  <si>
    <t>ALO       ADMIN     2AFFRAN</t>
  </si>
  <si>
    <t>ALO       ADMIN     2AFFRAN - _</t>
  </si>
  <si>
    <t>626000</t>
  </si>
  <si>
    <t>FRAIS POST.TELECOM.</t>
  </si>
  <si>
    <t>626000 - FRAIS POST.TELECOM.</t>
  </si>
  <si>
    <t>ALO       ADMIN     2ASSUR</t>
  </si>
  <si>
    <t>ALO       ADMIN     2ASSUR - _</t>
  </si>
  <si>
    <t>616000</t>
  </si>
  <si>
    <t>PRIMES D’ASSURANCE</t>
  </si>
  <si>
    <t>616000 - PRIMES D’ASSURANCE</t>
  </si>
  <si>
    <t>ALO       ADMIN     2COMM</t>
  </si>
  <si>
    <t>ALO       ADMIN     2COMM - _</t>
  </si>
  <si>
    <t>ALO       ADMIN     2DIVERS</t>
  </si>
  <si>
    <t>ALO       ADMIN     2DIVERS - _</t>
  </si>
  <si>
    <t>628800</t>
  </si>
  <si>
    <t>AUTRES CH. EXT. DIV.</t>
  </si>
  <si>
    <t>628800 - AUTRES CH. EXT. DIV.</t>
  </si>
  <si>
    <t>ALO       ADMIN     2DOCADM</t>
  </si>
  <si>
    <t>ALO       ADMIN     2DOCADM - _</t>
  </si>
  <si>
    <t>618130</t>
  </si>
  <si>
    <t>OUVR. NUMERIQ. ADM.</t>
  </si>
  <si>
    <t>618130 - OUVR. NUMERIQ. ADM.</t>
  </si>
  <si>
    <t>ALO       ADMIN     2FIBREOPT</t>
  </si>
  <si>
    <t>ALO       ADMIN     2FIBREOPT - _</t>
  </si>
  <si>
    <t>ALO       ADMIN     2FORMATIO</t>
  </si>
  <si>
    <t>ALO       ADMIN     2FORMATIO - _</t>
  </si>
  <si>
    <t>628200</t>
  </si>
  <si>
    <t>FORMATION DES PERS.</t>
  </si>
  <si>
    <t>628200 - FORMATION DES PERS.</t>
  </si>
  <si>
    <t>ALO       ADMIN     2FOURADM</t>
  </si>
  <si>
    <t>ALO       ADMIN     2FOURADM - _</t>
  </si>
  <si>
    <t>ALO       ADMIN     2INFIRMER</t>
  </si>
  <si>
    <t>ALO       ADMIN     2INFIRMER - _</t>
  </si>
  <si>
    <t>606600</t>
  </si>
  <si>
    <t>INFIRM&amp;PROD. PHARMA</t>
  </si>
  <si>
    <t>606600 - INFIRM&amp;PROD. PHARMA</t>
  </si>
  <si>
    <t>ALO       ADMIN     2INFORMAT</t>
  </si>
  <si>
    <t>ALO       ADMIN     2INFORMAT - _</t>
  </si>
  <si>
    <t>ALO       ADMIN     2LOGICIEL</t>
  </si>
  <si>
    <t>ALO       ADMIN     2LOGICIEL - _</t>
  </si>
  <si>
    <t>ALO       ADMIN     2MUTUALIS</t>
  </si>
  <si>
    <t>ALO       ADMIN     2MUTUALIS - _</t>
  </si>
  <si>
    <t>628700</t>
  </si>
  <si>
    <t>FACTUR. SERV.MUT.</t>
  </si>
  <si>
    <t>628700 - FACTUR. SERV.MUT.</t>
  </si>
  <si>
    <t>ALO       ADMIN     2PUB</t>
  </si>
  <si>
    <t>ALO       ADMIN     2PUB - _</t>
  </si>
  <si>
    <t>ALO       ADMIN     2RECEPT</t>
  </si>
  <si>
    <t>ALO       ADMIN     2RECEPT - _</t>
  </si>
  <si>
    <t>ALO       ADMIN     2SERBAN</t>
  </si>
  <si>
    <t>ALO       ADMIN     2SERBAN - _</t>
  </si>
  <si>
    <t>627000</t>
  </si>
  <si>
    <t>SERVICES BANCAIRES</t>
  </si>
  <si>
    <t>627000 - SERVICES BANCAIRES</t>
  </si>
  <si>
    <t>ALO       ADMIN     2SPEE</t>
  </si>
  <si>
    <t>ALO       ADMIN     2SPEE - _</t>
  </si>
  <si>
    <t>ALO       DEPART</t>
  </si>
  <si>
    <t>ALO       DEPART - _</t>
  </si>
  <si>
    <t>ALO       DEPART    2SPEEAUDI</t>
  </si>
  <si>
    <t>ALO       DEPART    2SPEEAUDI - _</t>
  </si>
  <si>
    <t>ALO       ENTRET</t>
  </si>
  <si>
    <t>ALO       ENTRET - _</t>
  </si>
  <si>
    <t>ALO       ENTRET    0ENTRETIE</t>
  </si>
  <si>
    <t>ALO       ENTRET    0ENTRETIE - _</t>
  </si>
  <si>
    <t>606300</t>
  </si>
  <si>
    <t>FOURN.PETIT.MAT.ENTR</t>
  </si>
  <si>
    <t>606300 - FOURN.PETIT.MAT.ENTR</t>
  </si>
  <si>
    <t>606500</t>
  </si>
  <si>
    <t>LINGE,VETEMENTS TRAV</t>
  </si>
  <si>
    <t>606500 - LINGE,VETEMENTS TRAV</t>
  </si>
  <si>
    <t>611200</t>
  </si>
  <si>
    <t>/S-TRAIT. DIV.ENTR.</t>
  </si>
  <si>
    <t>611200 - /S-TRAIT. DIV.ENTR.</t>
  </si>
  <si>
    <t>ALO       ENTRET    0MAINT</t>
  </si>
  <si>
    <t>ALO       ENTRET    0MAINT - _</t>
  </si>
  <si>
    <t>ALO       ENTRET    2MAINT</t>
  </si>
  <si>
    <t>ALO       ENTRET    2MAINT - _</t>
  </si>
  <si>
    <t>611800</t>
  </si>
  <si>
    <t>/S-TRAIT. AUTRES</t>
  </si>
  <si>
    <t>611800 - /S-TRAIT. AUTRES</t>
  </si>
  <si>
    <t>ALO       ENTRET    2MAINTLOG</t>
  </si>
  <si>
    <t>ALO       ENTRET    2MAINTLOG - _</t>
  </si>
  <si>
    <t>ALO       ENTRET    2MATERIEL</t>
  </si>
  <si>
    <t>ALO       ENTRET    2MATERIEL - _</t>
  </si>
  <si>
    <t>612000</t>
  </si>
  <si>
    <t>REDEV. CREDIT-BAIL</t>
  </si>
  <si>
    <t>612000 - REDEV. CREDIT-BAIL</t>
  </si>
  <si>
    <t>ALO       ENTRET    2PROD</t>
  </si>
  <si>
    <t>ALO       ENTRET    2PROD - _</t>
  </si>
  <si>
    <t>ALO       OP-SPE</t>
  </si>
  <si>
    <t>ALO       OP-SPE - _</t>
  </si>
  <si>
    <t>ALO       OP-SPE    0AMOR</t>
  </si>
  <si>
    <t>ALO       OP-SPE    0AMOR - _</t>
  </si>
  <si>
    <t>AMORSINV</t>
  </si>
  <si>
    <t>AMORT. ET SORT. INV.</t>
  </si>
  <si>
    <t>AMORSINV - AMORT. ET SORT. INV.</t>
  </si>
  <si>
    <t>681100</t>
  </si>
  <si>
    <t>DOT.IMMO.CORP.INCOR.</t>
  </si>
  <si>
    <t>681100 - DOT.IMMO.CORP.INCOR.</t>
  </si>
  <si>
    <t>ALO       REPRO</t>
  </si>
  <si>
    <t>ALO       REPRO - _</t>
  </si>
  <si>
    <t>ALO       REPRO     0CONSO</t>
  </si>
  <si>
    <t>ALO       REPRO     0CONSO - _</t>
  </si>
  <si>
    <t>ALO       REPRO     2CONSO</t>
  </si>
  <si>
    <t>ALO       REPRO     2CONSO - _</t>
  </si>
  <si>
    <t>ALO       REPRO     2LOCAPHOT</t>
  </si>
  <si>
    <t>ALO       REPRO     2LOCAPHOT - _</t>
  </si>
  <si>
    <t>ALO       REPRO     2PAPIER</t>
  </si>
  <si>
    <t>ALO       REPRO     2PAPIER - _</t>
  </si>
  <si>
    <t>ALO       VIAB</t>
  </si>
  <si>
    <t>ALO       VIAB - _</t>
  </si>
  <si>
    <t>ALO       VIAB      0EAU</t>
  </si>
  <si>
    <t>ALO       VIAB      0EAU - _</t>
  </si>
  <si>
    <t>606110</t>
  </si>
  <si>
    <t>FOURN.NON ST.EAU</t>
  </si>
  <si>
    <t>606110 - FOURN.NON ST.EAU</t>
  </si>
  <si>
    <t>ALO       VIAB      0ELEC</t>
  </si>
  <si>
    <t>ALO       VIAB      0ELEC - _</t>
  </si>
  <si>
    <t>606130</t>
  </si>
  <si>
    <t>FOURN.NON ST.ELECTRI</t>
  </si>
  <si>
    <t>606130 - FOURN.NON ST.ELECTRI</t>
  </si>
  <si>
    <t>ALO       VIAB      2CARBU</t>
  </si>
  <si>
    <t>ALO       VIAB      2CARBU - _</t>
  </si>
  <si>
    <t>606140</t>
  </si>
  <si>
    <t>FOURN.NO ST.CARB.LUB</t>
  </si>
  <si>
    <t>606140 - FOURN.NO ST.CARB.LUB</t>
  </si>
  <si>
    <t>ALO       VIAB      2EAU</t>
  </si>
  <si>
    <t>ALO       VIAB      2EAU - _</t>
  </si>
  <si>
    <t>ALO       VIAB      2ELEC</t>
  </si>
  <si>
    <t>ALO       VIAB      2ELEC - _</t>
  </si>
  <si>
    <t>SS</t>
  </si>
  <si>
    <t>SERVICES SPECIAUX</t>
  </si>
  <si>
    <t>SS - SERVICES SPECIAUX</t>
  </si>
  <si>
    <t>SRH</t>
  </si>
  <si>
    <t>RESTAU ET HEBERG</t>
  </si>
  <si>
    <t>SRH - RESTAU ET HEBERG</t>
  </si>
  <si>
    <t>SRH       FONCTSRH</t>
  </si>
  <si>
    <t>SRH       FONCTSRH - _</t>
  </si>
  <si>
    <t>SRH       FONCTSRH  0DIVERS</t>
  </si>
  <si>
    <t>SRH       FONCTSRH  0DIVERS - _</t>
  </si>
  <si>
    <t>SRH       FONCTSRH  0EAU</t>
  </si>
  <si>
    <t>SRH       FONCTSRH  0EAU - _</t>
  </si>
  <si>
    <t>SRH       FONCTSRH  0ELEC</t>
  </si>
  <si>
    <t>SRH       FONCTSRH  0ELEC - _</t>
  </si>
  <si>
    <t>SRH       FONCTSRH  0EQUIP</t>
  </si>
  <si>
    <t>SRH       FONCTSRH  0EQUIP - _</t>
  </si>
  <si>
    <t>SRH       FONCTSRH  0FOURSRH</t>
  </si>
  <si>
    <t>SRH       FONCTSRH  0FOURSRH - _</t>
  </si>
  <si>
    <t>SRH       FONCTSRH  0MAINT</t>
  </si>
  <si>
    <t>SRH       FONCTSRH  0MAINT - _</t>
  </si>
  <si>
    <t>SRH       FONCTSRH  0PROD</t>
  </si>
  <si>
    <t>SRH       FONCTSRH  0PROD - _</t>
  </si>
  <si>
    <t>SRH       FONCTSRH  0REPAS</t>
  </si>
  <si>
    <t>SRH       FONCTSRH  0REPAS - _</t>
  </si>
  <si>
    <t>SRH       REVERS</t>
  </si>
  <si>
    <t>SRH       REVERS - _</t>
  </si>
  <si>
    <t>SRH       REVERS    0COLLECT</t>
  </si>
  <si>
    <t>SRH       REVERS    0COLLECT - _</t>
  </si>
  <si>
    <t>653200</t>
  </si>
  <si>
    <t>TRANFERT C.T.R.</t>
  </si>
  <si>
    <t>653200 - TRANFERT C.T.R.</t>
  </si>
  <si>
    <t>SRH       REVERS    0FCSH</t>
  </si>
  <si>
    <t>SRH       REVERS    0FCSH - _</t>
  </si>
  <si>
    <t>INVEST</t>
  </si>
  <si>
    <t>INVESTISSEMENT</t>
  </si>
  <si>
    <t>INVEST - INVESTISSEMENT</t>
  </si>
  <si>
    <t>OPECAP</t>
  </si>
  <si>
    <t>OPE-CAP</t>
  </si>
  <si>
    <t>OPECAP - OPE-CAP</t>
  </si>
  <si>
    <t>OPC</t>
  </si>
  <si>
    <t>OPERATIONS EN CAP</t>
  </si>
  <si>
    <t>OPC - OPERATIONS EN CAP</t>
  </si>
  <si>
    <t>OPC       EQUIPEM</t>
  </si>
  <si>
    <t>OPC       EQUIPEM - _</t>
  </si>
  <si>
    <t>OPC       EQUIPEM   0EQUIP</t>
  </si>
  <si>
    <t>OPC       EQUIPEM   0EQUIP - 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</si>
</sst>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#,##0.00;\-#,##0.00;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right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1" fillId="2" borderId="2" xfId="0" applyNumberFormat="1" applyFont="1" applyFill="1" applyBorder="1" applyAlignment="1">
      <alignment horizontal="center" vertical="center" wrapText="1"/>
    </xf>
    <xf numFmtId="0" fontId="0" fillId="0" borderId="0" xfId="0" applyFont="1" applyAlignment="1">
      <alignment horizontal="left" vertical="center"/>
    </xf>
    <xf numFmtId="0" fontId="0" fillId="0" borderId="0" xfId="0"/>
    <xf numFmtId="164" fontId="0" fillId="0" borderId="0" xfId="0" applyNumberFormat="1"/>
    <xf numFmtId="4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Alignment="1">
      <alignment horizontal="left" indent="3"/>
    </xf>
    <xf numFmtId="0" fontId="0" fillId="0" borderId="0" xfId="0" applyAlignment="1">
      <alignment horizontal="left" indent="4"/>
    </xf>
    <xf numFmtId="0" fontId="0" fillId="0" borderId="0" xfId="0" applyAlignment="1">
      <alignment horizontal="left" indent="5"/>
    </xf>
  </cellXfs>
  <cellStyles count="1">
    <cellStyle name="Normal" xfId="0" builtinId="0"/>
  </cellStyles>
  <dxfs count="6">
    <dxf>
      <fill>
        <patternFill>
          <bgColor theme="4" tint="0.79998168889431442"/>
        </patternFill>
      </fill>
      <border>
        <left style="medium">
          <color auto="1"/>
        </left>
        <right style="medium">
          <color auto="1"/>
        </right>
        <vertical style="thin">
          <color auto="1"/>
        </vertical>
      </border>
    </dxf>
    <dxf>
      <font>
        <b val="0"/>
        <i val="0"/>
        <color theme="1"/>
      </font>
      <fill>
        <patternFill>
          <bgColor theme="4" tint="0.59996337778862885"/>
        </patternFill>
      </fill>
      <border>
        <left style="medium">
          <color auto="1"/>
        </left>
        <right style="medium">
          <color auto="1"/>
        </right>
        <bottom style="thin">
          <color theme="4" tint="0.39994506668294322"/>
        </bottom>
        <vertical style="thin">
          <color auto="1"/>
        </vertical>
      </border>
    </dxf>
    <dxf>
      <font>
        <color theme="0"/>
      </font>
      <fill>
        <patternFill>
          <bgColor theme="4" tint="0.39994506668294322"/>
        </patternFill>
      </fill>
      <border>
        <left style="medium">
          <color auto="1"/>
        </left>
        <right style="medium">
          <color auto="1"/>
        </right>
        <bottom/>
        <vertical style="thin">
          <color auto="1"/>
        </vertical>
      </border>
    </dxf>
    <dxf>
      <border>
        <left style="medium">
          <color auto="1"/>
        </left>
        <right style="thin">
          <color auto="1"/>
        </right>
        <vertical style="thin">
          <color auto="1"/>
        </vertical>
      </border>
    </dxf>
    <dxf>
      <font>
        <b/>
        <color theme="1"/>
      </font>
      <fill>
        <patternFill patternType="solid">
          <fgColor theme="4" tint="0.79989013336588644"/>
          <bgColor theme="0" tint="-0.14996795556505021"/>
        </patternFill>
      </fill>
      <border>
        <left style="medium">
          <color theme="1"/>
        </left>
        <right style="medium">
          <color theme="1"/>
        </right>
        <top style="medium">
          <color theme="1"/>
        </top>
        <bottom style="medium">
          <color theme="1"/>
        </bottom>
        <vertical style="medium">
          <color theme="1"/>
        </vertical>
        <horizontal style="medium">
          <color theme="1"/>
        </horizontal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thin">
          <color auto="1"/>
        </vertical>
        <horizontal style="thin">
          <color auto="1"/>
        </horizontal>
      </border>
    </dxf>
  </dxfs>
  <tableStyles count="2" defaultTableStyle="TableStyleMedium2" defaultPivotStyle="PivotStyleLight16">
    <tableStyle name="EBLA" table="0" count="6" xr9:uid="{00000000-0011-0000-FFFF-FFFF00000000}">
      <tableStyleElement type="wholeTable" dxfId="5"/>
      <tableStyleElement type="totalRow" dxfId="4"/>
      <tableStyleElement type="firstColumn" dxfId="3"/>
      <tableStyleElement type="firstRowSubheading" dxfId="2"/>
      <tableStyleElement type="secondRowSubheading" dxfId="1"/>
      <tableStyleElement type="thirdRowSubheading" dxfId="0"/>
    </tableStyle>
    <tableStyle name="Invisible" pivot="0" table="0" count="0" xr9:uid="{6569C71F-E138-4680-A69A-229A8CCE851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AgentComptable" refreshedDate="46111.498226157404" createdVersion="5" refreshedVersion="6" minRefreshableVersion="3" recordCount="186" xr:uid="{00000000-000A-0000-FFFF-FFFF8E000000}">
  <cacheSource type="worksheet">
    <worksheetSource ref="A2:BX999815" sheet="Donnees"/>
  </cacheSource>
  <cacheFields count="76">
    <cacheField name="Etablissement" numFmtId="0">
      <sharedItems containsBlank="1"/>
    </cacheField>
    <cacheField name="CGR de niveau 1" numFmtId="0">
      <sharedItems containsBlank="1"/>
    </cacheField>
    <cacheField name="Intutilé réduit" numFmtId="0">
      <sharedItems containsBlank="1"/>
    </cacheField>
    <cacheField name="CGR et intitulé réduit 1" numFmtId="0">
      <sharedItems containsBlank="1" count="3">
        <s v="ETS - Etablissement"/>
        <m/>
        <s v="x" u="1"/>
      </sharedItems>
    </cacheField>
    <cacheField name="CGR de niveau 2" numFmtId="0">
      <sharedItems containsBlank="1"/>
    </cacheField>
    <cacheField name="Intutilé réduit2" numFmtId="0">
      <sharedItems containsBlank="1"/>
    </cacheField>
    <cacheField name="CGR et intitulé réduit 2" numFmtId="0">
      <sharedItems containsBlank="1" count="4">
        <s v="FONC - FONCTIONNEMENT"/>
        <s v="INVEST - INVESTISSEMENT"/>
        <m/>
        <s v="xx" u="1"/>
      </sharedItems>
    </cacheField>
    <cacheField name="CGR de niveau 3" numFmtId="0">
      <sharedItems containsBlank="1"/>
    </cacheField>
    <cacheField name="Intutilé réduit3" numFmtId="0">
      <sharedItems containsBlank="1"/>
    </cacheField>
    <cacheField name="CGR et intitulé réduit 3" numFmtId="0">
      <sharedItems containsBlank="1" count="5">
        <s v="SG - SERVICES GENERAUX "/>
        <s v="SS - SERVICES SPECIAUX"/>
        <s v="OPECAP - OPE-CAP"/>
        <m/>
        <s v="xxx" u="1"/>
      </sharedItems>
    </cacheField>
    <cacheField name="CGR de niveau 4" numFmtId="0">
      <sharedItems containsBlank="1"/>
    </cacheField>
    <cacheField name="Intutilé réduit4" numFmtId="0">
      <sharedItems containsBlank="1"/>
    </cacheField>
    <cacheField name="CGR et intitulé réduit 4" numFmtId="0">
      <sharedItems containsBlank="1" count="8">
        <s v="AP - ACTIVITES PEDAGO. "/>
        <s v="VE - VIE DE L'ELEVE"/>
        <s v="ALO - ADMIN ET LOGISTIQUE"/>
        <s v="SRH - RESTAU ET HEBERG"/>
        <s v="OPC - OPERATIONS EN CAP"/>
        <m/>
        <s v="SCAMPUS - CAMPUS DES METIERS" u="1"/>
        <s v="SPLATE - 0" u="1"/>
      </sharedItems>
    </cacheField>
    <cacheField name="CGR de niveau 5" numFmtId="0">
      <sharedItems containsBlank="1"/>
    </cacheField>
    <cacheField name="Intutilé réduit5" numFmtId="0">
      <sharedItems containsBlank="1"/>
    </cacheField>
    <cacheField name="CGR et intitulé réduit 5" numFmtId="0">
      <sharedItems containsBlank="1" count="75">
        <s v="AP        ASSOC - _"/>
        <s v="AP        BOP141 - _"/>
        <s v="AP        ENSGEN - _"/>
        <s v="AP        EPS - _"/>
        <s v="AP        PROJET - _"/>
        <s v="VE        AEDREM - _"/>
        <s v="VE        BOP230 - _"/>
        <s v="ALO       ADMIN - _"/>
        <s v="ALO       DEPART - _"/>
        <s v="ALO       ENTRET - _"/>
        <s v="ALO       OP-SPE - _"/>
        <s v="ALO       REPRO - _"/>
        <s v="ALO       VIAB - _"/>
        <s v="SRH       FONCTSRH - _"/>
        <s v="SRH       REVERS - _"/>
        <s v="OPC       EQUIPEM - _"/>
        <m/>
        <s v="VE        ASOC - CGR combinaison" u="1"/>
        <s v="SRH       AE - CGR combinaison" u="1"/>
        <s v="ALO       ADMIN - CGR combinaison" u="1"/>
        <s v="ALO       AIDES - CGR combinaison" u="1"/>
        <s v="VE        ADMIN - _" u="1"/>
        <s v="AP        OP-SPE - _" u="1"/>
        <s v="ALO       APG - _" u="1"/>
        <s v="SRH       .AA - _" u="1"/>
        <s v="SRH       ADMIN - _" u="1"/>
        <s v="AP        REVERS - _" u="1"/>
        <s v="ALO       CAMPUS - CGR combinaison" u="1"/>
        <s v="ALO       CREPED - CGR combinaison" u="1"/>
        <s v="ALO       OP-SPE - CGR combinaison" u="1"/>
        <s v="ALO       VSTOCK - CGR combinaison" u="1"/>
        <s v="OPC       EQGENE - _" u="1"/>
        <s v="VE        FONCT - _" u="1"/>
        <s v="AP        VSTOCK - _" u="1"/>
        <s v="SRH       ASOC - _" u="1"/>
        <s v="OPC       AIDES - _" u="1"/>
        <s v="OPC       AE - _" u="1"/>
        <s v="AP        ADMIN - CGR combinaison" u="1"/>
        <s v="SCAMPUS   COMMUN - _" u="1"/>
        <s v="AP        APG - _" u="1"/>
        <s v="OPC       . - _" u="1"/>
        <s v="SRH       COMMUN - _" u="1"/>
        <s v="OPC       ADMIN - _" u="1"/>
        <s v="SPLATE    OP-SPE - _" u="1"/>
        <s v="ALO       AIDES - _" u="1"/>
        <s v="VE        REVERS - _" u="1"/>
        <s v="ALO       AE - _" u="1"/>
        <s v="OPC       ASOC - _" u="1"/>
        <s v="ALO       . - _" u="1"/>
        <s v="AP        RESPEC - _" u="1"/>
        <s v="VE        AIDES - CGR combinaison" u="1"/>
        <s v="ALO       CHARGE - _" u="1"/>
        <s v="ALO       SORTIEINV - _" u="1"/>
        <s v="SRH       ADMIN - CGR combinaison" u="1"/>
        <s v="VE        APG - _" u="1"/>
        <s v="AP        AIDES - _" u="1"/>
        <s v="AP        AE - _" u="1"/>
        <s v="ALO       AE - CGR combinaison" u="1"/>
        <s v="OPC       COMMUN - _" u="1"/>
        <s v="SRH       DENREE - CGR combinaison" u="1"/>
        <s v="ALO       .AA - _" u="1"/>
        <s v="AP        . - _" u="1"/>
        <s v="OPC       DENREE - _" u="1"/>
        <s v="OPC       EG - _" u="1"/>
        <s v="ALO       ASOC - _" u="1"/>
        <s v="OPC       OP-SPE - _" u="1"/>
        <s v="AP        ADMIN - _" u="1"/>
        <s v="ALO       REAFFE - _" u="1"/>
        <s v="VE        AIDES - _" u="1"/>
        <s v="VE        AE - _" u="1"/>
        <s v="SRH       AIDES - _" u="1"/>
        <s v="OPC       EQGENE - CGR combinaison" u="1"/>
        <s v="VE        . - _" u="1"/>
        <s v="SRH       . - _" u="1"/>
        <s v="ALO       OP-N-1 - _" u="1"/>
      </sharedItems>
    </cacheField>
    <cacheField name="CGR de niveau 6" numFmtId="0">
      <sharedItems containsBlank="1"/>
    </cacheField>
    <cacheField name="Intutilé réduit6" numFmtId="0">
      <sharedItems containsBlank="1"/>
    </cacheField>
    <cacheField name="CGR et intitulé réduit 6" numFmtId="0">
      <sharedItems containsBlank="1" count="269">
        <s v="AP        ASSOC     2FOYER - _"/>
        <s v="AP        ASSOC     2UNSS - _"/>
        <s v="AP        BOP141    13ADP - _"/>
        <s v="AP        BOP141    13AIP - _"/>
        <s v="AP        BOP141    13COR - _"/>
        <s v="AP        BOP141    13CR- - _"/>
        <s v="AP        BOP141    13EAC - _"/>
        <s v="AP        BOP141    13MS- - _"/>
        <s v="AP        BOP141    13REP - _"/>
        <s v="AP        BOP141    13TIC - _"/>
        <s v="AP        ENSGEN    0DIVERS - _"/>
        <s v="AP        ENSGEN    0SORTIES - _"/>
        <s v="AP        ENSGEN    2CDI - _"/>
        <s v="AP        ENSGEN    2CONCOURS - _"/>
        <s v="AP        ENSGEN    2DISCIPLI - _"/>
        <s v="AP        ENSGEN    2DIVERS - _"/>
        <s v="AP        ENSGEN    2SORTIES - _"/>
        <s v="AP        ENSGEN    2SPEE - _"/>
        <s v="AP        ENSGEN    2ULIS - _"/>
        <s v="AP        EPS       2DEPSLOC - _"/>
        <s v="AP        EPS       2DEPSTRAN - _"/>
        <s v="AP        EPS       2SPEEEPS - _"/>
        <s v="AP        PROJET    0ATAUDIOV - _"/>
        <s v="AP        PROJET    0DACAUDIO - _"/>
        <s v="AP        PROJET    0DACMANGA - _"/>
        <s v="AP        PROJET    0DACTHEA - _"/>
        <s v="AP        PROJET    13ADPTHEA - _"/>
        <s v="AP        PROJET    2AUDIOVIS - _"/>
        <s v="AP        PROJET    2JADEN - _"/>
        <s v="AP        PROJET    2PROJET - _"/>
        <s v="AP        PROJET    2THEATRE - _"/>
        <s v="VE        AEDREM    16AED - _"/>
        <s v="VE        BOP230    16EO- - _"/>
        <s v="VE        BOP230    16ESC - _"/>
        <s v="VE        BOP230    16FS- - _"/>
        <s v="VE        BOP230    16FSC - _"/>
        <s v="ALO       ADMIN     0DIVERS - _"/>
        <s v="ALO       ADMIN     0EQUIP - _"/>
        <s v="ALO       ADMIN     2AFFRAN - _"/>
        <s v="ALO       ADMIN     2ASSUR - _"/>
        <s v="ALO       ADMIN     2COMM - _"/>
        <s v="ALO       ADMIN     2DIVERS - _"/>
        <s v="ALO       ADMIN     2DOCADM - _"/>
        <s v="ALO       ADMIN     2FIBREOPT - _"/>
        <s v="ALO       ADMIN     2FORMATIO - _"/>
        <s v="ALO       ADMIN     2FOURADM - _"/>
        <s v="ALO       ADMIN     2INFIRMER - _"/>
        <s v="ALO       ADMIN     2INFORMAT - _"/>
        <s v="ALO       ADMIN     2LOGICIEL - _"/>
        <s v="ALO       ADMIN     2MUTUALIS - _"/>
        <s v="ALO       ADMIN     2PUB - _"/>
        <s v="ALO       ADMIN     2RECEPT - _"/>
        <s v="ALO       ADMIN     2SERBAN - _"/>
        <s v="ALO       ADMIN     2SPEE - _"/>
        <s v="ALO       DEPART    2SPEEAUDI - _"/>
        <s v="ALO       ENTRET    0ENTRETIE - _"/>
        <s v="ALO       ENTRET    0MAINT - _"/>
        <s v="ALO       ENTRET    2MAINT - _"/>
        <s v="ALO       ENTRET    2MAINTLOG - _"/>
        <s v="ALO       ENTRET    2MATERIEL - _"/>
        <s v="ALO       ENTRET    2PROD - _"/>
        <s v="ALO       OP-SPE    0AMOR - _"/>
        <s v="ALO       REPRO     0CONSO - _"/>
        <s v="ALO       REPRO     2CONSO - _"/>
        <s v="ALO       REPRO     2LOCAPHOT - _"/>
        <s v="ALO       REPRO     2PAPIER - _"/>
        <s v="ALO       VIAB      0EAU - _"/>
        <s v="ALO       VIAB      0ELEC - _"/>
        <s v="ALO       VIAB      2CARBU - _"/>
        <s v="ALO       VIAB      2EAU - _"/>
        <s v="ALO       VIAB      2ELEC - _"/>
        <s v="SRH       FONCTSRH  0DIVERS - _"/>
        <s v="SRH       FONCTSRH  0EAU - _"/>
        <s v="SRH       FONCTSRH  0ELEC - _"/>
        <s v="SRH       FONCTSRH  0EQUIP - _"/>
        <s v="SRH       FONCTSRH  0FOURSRH - _"/>
        <s v="SRH       FONCTSRH  0MAINT - _"/>
        <s v="SRH       FONCTSRH  0PROD - _"/>
        <s v="SRH       FONCTSRH  0REPAS - _"/>
        <s v="SRH       REVERS    0COLLECT - _"/>
        <s v="SRH       REVERS    0FCSH - _"/>
        <s v="OPC       EQUIPEM   0EQUIP - _"/>
        <m/>
        <s v="ALO       .         .. - _" u="1"/>
        <s v="VE        AIDES     0ANGFAM - _" u="1"/>
        <s v="ALO       ADMIN     0ASSUR - CGR combinaison" u="1"/>
        <s v="ALO       AE        0ASSUR - CGR combinaison" u="1"/>
        <s v="ALO       AIDES     0ASSUR - CGR combinaison" u="1"/>
        <s v="ALO       CAMPUS    0ASSUR - CGR combinaison" u="1"/>
        <s v="SRH       AIDES     0ANGFAM - _" u="1"/>
        <s v="ALO       AE        0MEDIAT - _" u="1"/>
        <s v="VE        ADMIN     0ASSUR - _" u="1"/>
        <s v="VE        AE        0ASSUR - _" u="1"/>
        <s v="VE        AIDES     0ASSUR - _" u="1"/>
        <s v="VE        APG       0ASSUR - _" u="1"/>
        <s v="VE        FONCT     0ASSUR - _" u="1"/>
        <s v="AP        .         13RPN - _" u="1"/>
        <s v="AP        ADMIN     13RPN - _" u="1"/>
        <s v="AP        AIDES     13RPN - _" u="1"/>
        <s v="AP        APG       13REP - _" u="1"/>
        <s v="VE        REVERS    0ARTPLA - _" u="1"/>
        <s v="SRH       ADMIN     0ASSUR - _" u="1"/>
        <s v="SRH       REVERS    0ASSUR - _" u="1"/>
        <s v="ALO       ADMIN     0ANGFOYER - _" u="1"/>
        <s v="ALO       ADMIN     0IRLFOYER - _" u="1"/>
        <s v="ALO       AE        0ANGFOYER - _" u="1"/>
        <s v="ALO       AIDES     0ANGFOYER - _" u="1"/>
        <s v="ALO       APG       0ANGFOYER - _" u="1"/>
        <s v="ALO       CHARGE    0ANGFOYER - _" u="1"/>
        <s v="AP        APG       0CARNETS - _" u="1"/>
        <s v="ALO       ADMIN     00CDI - _" u="1"/>
        <s v="ALO       AE        0INFIRMER - _" u="1"/>
        <s v="AP        .         .. - _" u="1"/>
        <s v="ALO       ADMIN     0EDMUS - _" u="1"/>
        <s v="AP        REVERS    13AIP - _" u="1"/>
        <s v="ALO       OP-N-1    0CAP- - _" u="1"/>
        <s v="ALO       SORTIEINV 0CAP- - _" u="1"/>
        <s v="AP        ADMIN     0ASSUR - CGR combinaison" u="1"/>
        <s v="OPC       ADMIN     0ABTADM - _" u="1"/>
        <s v="OPC       AIDES     0ABTADM - _" u="1"/>
        <s v="OPC       ASOC      0ABTADM - _" u="1"/>
        <s v="OPC       COMMUN    0ABTADM - _" u="1"/>
        <s v="OPC       DENREE    0ABTADM - _" u="1"/>
        <s v="OPC       EG        0ABTADM - _" u="1"/>
        <s v="ALO       CHARGE    2SUBV - _" u="1"/>
        <s v="ALO       ADMIN     0DEGRACDI - _" u="1"/>
        <s v="SRH       ADMIN     0DENRZZZZ - _" u="1"/>
        <s v="SRH       AE        0DENR - _" u="1"/>
        <s v="SRH       AIDES     0DENR - _" u="1"/>
        <s v="ALO       ADMIN     0CEXP - _" u="1"/>
        <s v="ALO       ADMIN     0ABTADM - CGR combinaison" u="1"/>
        <s v="ALO       ADMIN     0AFFRAN - CGR combinaison" u="1"/>
        <s v="ALO       ADMIN     0ANGFAM - CGR combinaison" u="1"/>
        <s v="ALO       ADMIN     0MEDCUI - CGR combinaison" u="1"/>
        <s v="ALO       AE        0ABTADM - CGR combinaison" u="1"/>
        <s v="ALO       AE        0ANGFAM - CGR combinaison" u="1"/>
        <s v="ALO       AIDES     0AFFRAN - CGR combinaison" u="1"/>
        <s v="ALO       CREPED    0AFFRAN - CGR combinaison" u="1"/>
        <s v="ALO       ADMIN     00CDE - _" u="1"/>
        <s v="AP        APG       0CCABTP - _" u="1"/>
        <s v="SRH       AIDES     16ADE - _" u="1"/>
        <s v="ALO       OP-SPE    0SINV - _" u="1"/>
        <s v="ALO       OP-SPE    0PROV - _" u="1"/>
        <s v="OPC       AIDES     0DGF - _" u="1"/>
        <s v="ALO       .AA       0ADMFOUR - _" u="1"/>
        <s v="ALO       ADMIN     0ADMFOUR - _" u="1"/>
        <s v="OPC       ADMIN     0ASSUR - _" u="1"/>
        <s v="OPC       AE        0ASSUR - _" u="1"/>
        <s v="OPC       AIDES     0ASSUR - _" u="1"/>
        <s v="SRH       ADMIN     0DECHET - _" u="1"/>
        <s v="SRH       ASOC      0DECHET - _" u="1"/>
        <s v="ALO       ADMIN     0AMOR - CGR combinaison" u="1"/>
        <s v="ALO       OP-SPE    0PROV - CGR combinaison" u="1"/>
        <s v="ALO       VSTOCK    0DIMI - CGR combinaison" u="1"/>
        <s v="AP        AIDES     16FS- - _" u="1"/>
        <s v="ALO       ADMIN     0ABTADM - _" u="1"/>
        <s v="ALO       AE        0ABTADM - _" u="1"/>
        <s v="ALO       AIDES     0ABTADM - _" u="1"/>
        <s v="ALO       APG       0ABTADM - _" u="1"/>
        <s v="VE        .         .. - _" u="1"/>
        <s v="VE        AIDES     .. - _" u="1"/>
        <s v="ALO       .         16FVL - _" u="1"/>
        <s v="ALO       AIDES     0CDIOUV - _" u="1"/>
        <s v="OPC       EQGENE    0AMORTIS - _" u="1"/>
        <s v="ALO       ADMIN     0AFFRAN - _" u="1"/>
        <s v="ALO       AE        0AFFRAN - _" u="1"/>
        <s v="ALO       AIDES     0AFFRAN - _" u="1"/>
        <s v="ALO       APG       0AFFRAN - _" u="1"/>
        <s v="ALO       CAMPUS    0AFFRAN - _" u="1"/>
        <s v="ALO       CHARGE    0AFFRAN - _" u="1"/>
        <s v="ALO       REAFFE    0AFFRAN - _" u="1"/>
        <s v="AP        ADMIN     0ABTADM - CGR combinaison" u="1"/>
        <s v="SRH       .         .. - _" u="1"/>
        <s v="AP        ADMIN     00CDE - _" u="1"/>
        <s v="AP        AIDES     00CDE - _" u="1"/>
        <s v="AP        APG       00CDE - _" u="1"/>
        <s v="ALO       AE        0ANGLETER - _" u="1"/>
        <s v="ALO       APG       0AMORSINV - _" u="1"/>
        <s v="ALO       OP-SPE    0AMORSINV - _" u="1"/>
        <s v="AP        OP-SPE    0PROV - _" u="1"/>
        <s v="-" u="1"/>
        <s v="OPC       EQGENE    2TPISC - _" u="1"/>
        <s v="ALO       CHARGE    0CCCABTP - _" u="1"/>
        <s v="VE        ADMIN     0ANGFOYER - _" u="1"/>
        <s v="ALO       AE        0CAMPUS - _" u="1"/>
        <s v="ALO       APG       0CAMPUS - _" u="1"/>
        <s v="VE        AIDES     00CDI - _" u="1"/>
        <s v="ALO       AE        0ANGFAM - _" u="1"/>
        <s v="ALO       AIDES     0ANGFAM - _" u="1"/>
        <s v="ALO       APG       0ANGFAM - _" u="1"/>
        <s v="ALO       CAMPUS    0ANGFAM - _" u="1"/>
        <s v="ALO       CHARGE    0ANGFAM - _" u="1"/>
        <s v="AP        ADMIN     0ABTADM - _" u="1"/>
        <s v="AP        AE        0ABTADM - _" u="1"/>
        <s v="AP        AIDES     0ABTADM - _" u="1"/>
        <s v="AP        APG       0ABTADM - _" u="1"/>
        <s v="AP        .         16AEH - _" u="1"/>
        <s v="AP        ADMIN     16AEH - _" u="1"/>
        <s v="AP        AIDES     16AEH - _" u="1"/>
        <s v="AP        VSTOCK    0VSTOCK - _" u="1"/>
        <s v="AP        ADMIN     0AFFRAN - _" u="1"/>
        <s v="AP        APG       0AFFRAN - _" u="1"/>
        <s v="AP        APG       13MS- - _" u="1"/>
        <s v="ALO       ADMIN     0ASSUR - _" u="1"/>
        <s v="ALO       AE        0ASSUR - _" u="1"/>
        <s v="ALO       APG       0ASSUR - _" u="1"/>
        <s v="ALO       CHARGE    0ASSUR - _" u="1"/>
        <s v="ALO       AE        0ARTPLA - _" u="1"/>
        <s v="ALO       CHARGE    0ARTPLA - _" u="1"/>
        <s v="ALO       ASOC      0AMORTIS - _" u="1"/>
        <s v="OPC       EQGENE    2DECHET - _" u="1"/>
        <s v="ALO       CHARGE    0CVC - _" u="1"/>
        <s v="ALO       ADMIN     0ACTFONC - _" u="1"/>
        <s v="ALO       AE        0ACTFONC - _" u="1"/>
        <s v="ALO       AIDES     0ACTFONC - _" u="1"/>
        <s v="ALO       APG       0ACTFONC - _" u="1"/>
        <s v="ALO       SORTIEINV 0ACTFONC - _" u="1"/>
        <s v="OPC       OP-SPE    0PIMO - _" u="1"/>
        <s v="VE        AIDES     16FS- - _" u="1"/>
        <s v="SRH       COMMUN    0CEXP - _" u="1"/>
        <s v="ALO       AIDES     0COMMENS - _" u="1"/>
        <s v="ALO       AE        0HUISSIER - _" u="1"/>
        <s v="OPC       .         .. - _" u="1"/>
        <s v="SRH       AIDES     16FS- - _" u="1"/>
        <s v="VE        ADMIN     00CDE - _" u="1"/>
        <s v="AP        ADMIN     0ASSUR - _" u="1"/>
        <s v="AP        AIDES     0ASSUR - _" u="1"/>
        <s v="AP        APG       0ASSUR - _" u="1"/>
        <s v="AP        APG       0ARTPLA - _" u="1"/>
        <s v="AP        REVERS    0ARTPLA - _" u="1"/>
        <s v="SRH       ADMIN     0ABTADM - CGR combinaison" u="1"/>
        <s v="ALO       ADMIN     0CDIABON - _" u="1"/>
        <s v="ALO       AE        0CDIABON - _" u="1"/>
        <s v="ALO       AIDES     0CDIABON - _" u="1"/>
        <s v="SPLATE    OP-SPE    0PROV - _" u="1"/>
        <s v="AP        ADMIN     0ACTFONC - _" u="1"/>
        <s v="AP        AIDES     0ACTFONC - _" u="1"/>
        <s v="ALO       ADMIN     0CARB - _" u="1"/>
        <s v="ALO       AE        0CARB - _" u="1"/>
        <s v="ALO       AIDES     0CARB - _" u="1"/>
        <s v="ALO       APG       0CARB - _" u="1"/>
        <s v="ALO       CHARGE    0CARB - _" u="1"/>
        <s v="SCAMPUS   COMMUN    0ABTADM - _" u="1"/>
        <s v="SRH       .AA       0ADMFOUR - _" u="1"/>
        <s v="VE        AIDES     16FS- - CGR combinaison" u="1"/>
        <s v="VE        ASOC      0CESC - CGR combinaison" u="1"/>
        <s v="ALO       CAMPUS    0DEGRACAR - _" u="1"/>
        <s v="VE        ADMIN     0ABTADM - _" u="1"/>
        <s v="VE        AIDES     0ABTADM - _" u="1"/>
        <s v="VE        APG       0ABTADM - _" u="1"/>
        <s v="VE        FONCT     0ABTADM - _" u="1"/>
        <s v="SRH       DENREE    0DENR - CGR combinaison" u="1"/>
        <s v="VE        .         16FVL - _" u="1"/>
        <s v="VE        AIDES     16FVL - _" u="1"/>
        <s v="AP        RESPEC    0COMMENS - _" u="1"/>
        <s v="SRH       AIDES     0ABTADM - _" u="1"/>
        <s v="VE        ADMIN     0ANGLETER - _" u="1"/>
        <s v="SRH       .         0AFFRAN - _" u="1"/>
        <s v="SRH       ADMIN     0AFFRAN - _" u="1"/>
        <s v="SRH       AIDES     0AFFRAN - _" u="1"/>
        <s v="SRH       ASOC      0AFFRAN - _" u="1"/>
        <s v="SRH       COMMUN    0AFFRAN - _" u="1"/>
        <s v="AP        .         16DAL - _" u="1"/>
        <s v="AP        AIDES     16DAL - _" u="1"/>
        <s v="AP        AIDES     0CDIABON - _" u="1"/>
        <s v="OPC       EQGENE    2SECBAD - _" u="1"/>
        <s v="ALO       ADMIN     0CARNETS - _" u="1"/>
        <s v="ALO       AE        0CARNETS - _" u="1"/>
        <s v="ALO       CHARGE    0CARNETS - _" u="1"/>
      </sharedItems>
    </cacheField>
    <cacheField name="CGR de niveau 7" numFmtId="0">
      <sharedItems containsNonDate="0" containsString="0" containsBlank="1"/>
    </cacheField>
    <cacheField name="Intutilé réduit7" numFmtId="0">
      <sharedItems containsNonDate="0" containsString="0" containsBlank="1"/>
    </cacheField>
    <cacheField name="CGR et intitulé réduit 7" numFmtId="0">
      <sharedItems containsBlank="1"/>
    </cacheField>
    <cacheField name="CGR de niveau 8" numFmtId="0">
      <sharedItems containsNonDate="0" containsString="0" containsBlank="1"/>
    </cacheField>
    <cacheField name="Intutilé réduit8" numFmtId="0">
      <sharedItems containsNonDate="0" containsString="0" containsBlank="1"/>
    </cacheField>
    <cacheField name="CGR et intitulé réduit 8" numFmtId="0">
      <sharedItems containsBlank="1"/>
    </cacheField>
    <cacheField name="CGR de niveau 9" numFmtId="0">
      <sharedItems containsNonDate="0" containsString="0" containsBlank="1"/>
    </cacheField>
    <cacheField name="Intutilé réduit9" numFmtId="0">
      <sharedItems containsNonDate="0" containsString="0" containsBlank="1"/>
    </cacheField>
    <cacheField name="CGR et intitulé réduit 9" numFmtId="0">
      <sharedItems containsBlank="1"/>
    </cacheField>
    <cacheField name="CGR de niveau 10" numFmtId="0">
      <sharedItems containsNonDate="0" containsString="0" containsBlank="1"/>
    </cacheField>
    <cacheField name="Intutilé réduit10" numFmtId="0">
      <sharedItems containsNonDate="0" containsString="0" containsBlank="1"/>
    </cacheField>
    <cacheField name="CGR et intitulé réduit 10" numFmtId="0">
      <sharedItems containsBlank="1"/>
    </cacheField>
    <cacheField name="Poste de niveau 1" numFmtId="0">
      <sharedItems containsBlank="1"/>
    </cacheField>
    <cacheField name="Intutilé réduit11" numFmtId="0">
      <sharedItems containsBlank="1"/>
    </cacheField>
    <cacheField name="Poste et intitulé réduit 1" numFmtId="0">
      <sharedItems containsBlank="1"/>
    </cacheField>
    <cacheField name="Poste de niveau 2" numFmtId="0">
      <sharedItems containsBlank="1"/>
    </cacheField>
    <cacheField name="Intutilé réduit12" numFmtId="0">
      <sharedItems containsBlank="1"/>
    </cacheField>
    <cacheField name="Poste et intitulé réduit 2" numFmtId="0">
      <sharedItems containsBlank="1"/>
    </cacheField>
    <cacheField name="Poste de niveau 3" numFmtId="0">
      <sharedItems containsBlank="1"/>
    </cacheField>
    <cacheField name="Intutilé réduit13" numFmtId="0">
      <sharedItems containsBlank="1"/>
    </cacheField>
    <cacheField name="Poste et intitulé réduit 3" numFmtId="0">
      <sharedItems containsBlank="1" count="79">
        <s v="-"/>
        <s v="624000 - TRANSP.B&amp;P. H.VOY.S."/>
        <s v="606400 - FOURN.ADMINISTRATIVE"/>
        <s v="606210 - MANUELS SCOLAIRES"/>
        <s v="651600 - DROITS AUTEUR REPRO."/>
        <s v="606800 - MAT.MOB.OUT.NON IMM."/>
        <s v="651100 - REDEV.CONCESS.BREV."/>
        <s v="606700 - F.MAT.ENS. NON IMM."/>
        <s v="611100 - /S-TRAIT. REST. H."/>
        <s v="625112 - VOY.DEPL.EL. SORTIES"/>
        <s v="606220 - OUVRAGES CDI"/>
        <s v="606230 - DOC. ADMIN."/>
        <s v="618120 - OUVR. NUMERIQ. CDI"/>
        <s v="628600 - CONCOURS DIVERS"/>
        <s v="601100 - ACHATS DE DENREES"/>
        <s v="622000 - REMUN.INTERM.HONOR."/>
        <s v="613200 - AUTRES LOCATIONS"/>
        <s v="621000 - PERS. EXT. A L’ETAB."/>
        <s v="644700 - REMUN. ASSIST. EDUC."/>
        <s v="625700 - FRAIS RECEP.(P.EXT.)"/>
        <s v="657610 - AIDE SOCIALE EL.ETAT"/>
        <s v="626000 - FRAIS POST.TELECOM."/>
        <s v="616000 - PRIMES D’ASSURANCE"/>
        <s v="628800 - AUTRES CH. EXT. DIV."/>
        <s v="618130 - OUVR. NUMERIQ. ADM."/>
        <s v="628200 - FORMATION DES PERS."/>
        <s v="606600 - INFIRM&amp;PROD. PHARMA"/>
        <s v="628700 - FACTUR. SERV.MUT."/>
        <s v="627000 - SERVICES BANCAIRES"/>
        <s v="606300 - FOURN.PETIT.MAT.ENTR"/>
        <s v="606500 - LINGE,VETEMENTS TRAV"/>
        <s v="611200 - /S-TRAIT. DIV.ENTR."/>
        <s v="611800 - /S-TRAIT. AUTRES"/>
        <s v="612000 - REDEV. CREDIT-BAIL"/>
        <s v="681100 - DOT.IMMO.CORP.INCOR."/>
        <s v="606110 - FOURN.NON ST.EAU"/>
        <s v="606130 - FOURN.NON ST.ELECTRI"/>
        <s v="606140 - FOURN.NO ST.CARB.LUB"/>
        <s v="653200 - TRANFERT C.T.R."/>
        <m/>
        <s v="232000 - IMMO.INCORP.EN.COURS" u="1"/>
        <s v="602110 - ACH. APPRO. CHARBON" u="1"/>
        <s v="615000 - ENTR. REPAR. EL.ACT." u="1"/>
        <s v="625120 - VOY.DEPL. PERSONNEL" u="1"/>
        <s v="625111 - VOY.DEPL.EL. VOYAGES" u="1"/>
        <s v="658400 - DECH.REM.GRAC. REGI." u="1"/>
        <s v="601300 - ACHATS DE MAT.OEUVRE" u="1"/>
        <s v="744600 - SUBVENTIONS UE" u="1"/>
        <s v="205300 - LOGICIELS" u="1"/>
        <s v="656100 - V.COMPT.  IMMO.I." u="1"/>
        <s v="746600 - CAISSE DE SOLIDARITE" u="1"/>
        <s v="708300 - LOCATIONS DIVERSES" u="1"/>
        <s v="748100 - REVST TA" u="1"/>
        <s v="131200 - FIN.NON.ACTIF.REG." u="1"/>
        <s v="708800 - AUT. PROD. ACT. ANN." u="1"/>
        <s v="658300 - ANNUL TR EX.ANT." u="1"/>
        <s v="744510 - SUBVENTIONS  ASP" u="1"/>
        <s v="215000 - INST. TECHN-MAT" u="1"/>
        <s v="218300 - MAT. BUR. &amp; INFORMAT" u="1"/>
        <s v="602220 - ACH. F.C.FOURN.SCOL." u="1"/>
        <s v="xxx" u="1"/>
        <s v="231000 - IMMO CORP.EN.COURS" u="1"/>
        <s v="746800 - AUTRES DONS ET LEGS" u="1"/>
        <s v="654200 - REM. GRAC. A.CREANC." u="1"/>
        <s v="758800 - AUTRES PRODUITS DIV." u="1"/>
        <s v="668300 - CH. FIN. AOR" u="1"/>
        <s v="744800 - AUTRES SUBVENTIONS" u="1"/>
        <s v="741800 - SUBV AUT. MINISTERES" u="1"/>
        <s v="744580 - AUT.SUB.ETABS PUB." u="1"/>
        <s v="213000 - CONSTRUCTIONS" u="1"/>
        <s v="681500 - DOT.PROV.RISQ.CH.E." u="1"/>
        <s v="781320 - Q.P.RES.F.ACT.AUT.ET" u="1"/>
        <s v="642000 - REMUN. PL. ENSEIGNT." u="1"/>
        <s v="657620 - AIDE SOCIALE EL.CT" u="1"/>
        <s v="644500 - REMUN. CONT. AID." u="1"/>
        <s v="708700 - PART. AUT. ORG." u="1"/>
        <s v="656200 - V.COMPT.  IMMO.C." u="1"/>
        <s v="635000 - AUTR.IMPOTS TAX. ADM" u="1"/>
        <s v="212000 - AGT-AMT TERRAIN" u="1"/>
      </sharedItems>
    </cacheField>
    <cacheField name="Poste de niveau 4" numFmtId="0">
      <sharedItems containsNonDate="0" containsString="0" containsBlank="1"/>
    </cacheField>
    <cacheField name="Intutilé réduit14" numFmtId="0">
      <sharedItems containsNonDate="0" containsString="0" containsBlank="1"/>
    </cacheField>
    <cacheField name="Poste et intitulé réduit 4" numFmtId="0">
      <sharedItems containsBlank="1"/>
    </cacheField>
    <cacheField name="Poste de niveau 5" numFmtId="0">
      <sharedItems containsNonDate="0" containsString="0" containsBlank="1"/>
    </cacheField>
    <cacheField name="Intutilé réduit15" numFmtId="0">
      <sharedItems containsNonDate="0" containsString="0" containsBlank="1"/>
    </cacheField>
    <cacheField name="Poste et intitulé réduit 5" numFmtId="0">
      <sharedItems containsBlank="1"/>
    </cacheField>
    <cacheField name="Poste de niveau 6" numFmtId="0">
      <sharedItems containsNonDate="0" containsString="0" containsBlank="1"/>
    </cacheField>
    <cacheField name="Intutilé réduit16" numFmtId="0">
      <sharedItems containsNonDate="0" containsString="0" containsBlank="1"/>
    </cacheField>
    <cacheField name="Poste et intitulé réduit 6" numFmtId="0">
      <sharedItems containsBlank="1"/>
    </cacheField>
    <cacheField name="Poste de niveau 7" numFmtId="0">
      <sharedItems containsNonDate="0" containsString="0" containsBlank="1"/>
    </cacheField>
    <cacheField name="Intutilé réduit17" numFmtId="0">
      <sharedItems containsNonDate="0" containsString="0" containsBlank="1"/>
    </cacheField>
    <cacheField name="Poste et intitulé réduit 7" numFmtId="0">
      <sharedItems containsBlank="1"/>
    </cacheField>
    <cacheField name="Poste de niveau 8" numFmtId="0">
      <sharedItems containsNonDate="0" containsString="0" containsBlank="1"/>
    </cacheField>
    <cacheField name="Intutilé réduit18" numFmtId="0">
      <sharedItems containsNonDate="0" containsString="0" containsBlank="1"/>
    </cacheField>
    <cacheField name="Poste et intitulé réduit 8" numFmtId="0">
      <sharedItems containsBlank="1"/>
    </cacheField>
    <cacheField name="Poste de niveau 9" numFmtId="0">
      <sharedItems containsNonDate="0" containsString="0" containsBlank="1"/>
    </cacheField>
    <cacheField name="Intutilé réduit19" numFmtId="0">
      <sharedItems containsNonDate="0" containsString="0" containsBlank="1"/>
    </cacheField>
    <cacheField name="Poste et intitulé réduit 9" numFmtId="0">
      <sharedItems containsBlank="1"/>
    </cacheField>
    <cacheField name="Poste de niveau 10" numFmtId="0">
      <sharedItems containsNonDate="0" containsString="0" containsBlank="1"/>
    </cacheField>
    <cacheField name="Intutilé réduit20" numFmtId="0">
      <sharedItems containsNonDate="0" containsString="0" containsBlank="1"/>
    </cacheField>
    <cacheField name="Poste et intitulé réduit 10" numFmtId="0">
      <sharedItems containsBlank="1"/>
    </cacheField>
    <cacheField name="Compte" numFmtId="0">
      <sharedItems containsNonDate="0" containsString="0" containsBlank="1"/>
    </cacheField>
    <cacheField name="Intutilé réduit21" numFmtId="0">
      <sharedItems containsNonDate="0" containsString="0" containsBlank="1"/>
    </cacheField>
    <cacheField name="Montant colonne 1" numFmtId="0">
      <sharedItems containsString="0" containsBlank="1" containsNumber="1" minValue="0" maxValue="408210.72"/>
    </cacheField>
    <cacheField name="Montant colonne 2" numFmtId="0">
      <sharedItems containsString="0" containsBlank="1" containsNumber="1" minValue="0" maxValue="408210.72"/>
    </cacheField>
    <cacheField name="Montant colonne 3" numFmtId="0">
      <sharedItems containsString="0" containsBlank="1" containsNumber="1" minValue="0" maxValue="408210.72"/>
    </cacheField>
    <cacheField name="Montant colonne 4" numFmtId="0">
      <sharedItems containsString="0" containsBlank="1" containsNumber="1" containsInteger="1" minValue="0" maxValue="0"/>
    </cacheField>
    <cacheField name="Montant colonne 5" numFmtId="0">
      <sharedItems containsString="0" containsBlank="1" containsNumber="1" minValue="-408210.72" maxValue="408210.72"/>
    </cacheField>
    <cacheField name="Montant colonne 6" numFmtId="0">
      <sharedItems containsString="0" containsBlank="1" containsNumber="1" containsInteger="1" minValue="0" maxValue="0"/>
    </cacheField>
    <cacheField name="Montant colonne 7" numFmtId="0">
      <sharedItems containsString="0" containsBlank="1" containsNumber="1" containsInteger="1" minValue="0" maxValue="0"/>
    </cacheField>
    <cacheField name="Montant colonne 8" numFmtId="0">
      <sharedItems containsString="0" containsBlank="1" containsNumber="1" containsInteger="1" minValue="0" maxValue="0"/>
    </cacheField>
    <cacheField name="Montant colonne 9" numFmtId="0">
      <sharedItems containsString="0" containsBlank="1" containsNumber="1" containsInteger="1" minValue="0" maxValue="0"/>
    </cacheField>
    <cacheField name="Montant colonne 10" numFmtId="0">
      <sharedItems containsString="0" containsBlank="1" containsNumber="1" containsInteger="1" minValue="0" maxValue="0"/>
    </cacheField>
    <cacheField name="Montant colonne 11" numFmtId="0">
      <sharedItems containsString="0" containsBlank="1" containsNumber="1" containsInteger="1" minValue="0" maxValue="0"/>
    </cacheField>
    <cacheField name="Montant colonne 12" numFmtId="0">
      <sharedItems containsString="0" containsBlank="1" containsNumber="1" containsInteger="1" minValue="0" maxValue="0"/>
    </cacheField>
    <cacheField name="Montant colonne 13" numFmtId="0">
      <sharedItems containsString="0" containsBlank="1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6">
  <r>
    <s v="P03427"/>
    <s v="ETS"/>
    <s v="Etablissement"/>
    <x v="0"/>
    <s v="FONC"/>
    <s v="FONCTIONNEMENT"/>
    <x v="0"/>
    <s v="SG"/>
    <s v="SERVICES GENERAUX "/>
    <x v="0"/>
    <s v="AP"/>
    <s v="ACTIVITES PEDAGO. "/>
    <x v="0"/>
    <s v="AP        ASSOC"/>
    <s v="_"/>
    <x v="0"/>
    <s v="AP        ASSOC     2FOYER"/>
    <s v="_"/>
    <x v="0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m/>
    <m/>
    <x v="0"/>
    <m/>
    <m/>
    <s v="-"/>
    <m/>
    <m/>
    <s v="-"/>
    <m/>
    <m/>
    <s v="-"/>
    <m/>
    <m/>
    <s v="-"/>
    <m/>
    <m/>
    <s v="-"/>
    <m/>
    <m/>
    <s v="-"/>
    <m/>
    <m/>
    <s v="-"/>
    <m/>
    <m/>
    <n v="500"/>
    <n v="0"/>
    <n v="0"/>
    <n v="0"/>
    <n v="500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P"/>
    <s v="ACTIVITES PEDAGO. "/>
    <x v="0"/>
    <s v="AP        ASSOC"/>
    <s v="_"/>
    <x v="0"/>
    <s v="AP        ASSOC     2UNSS"/>
    <s v="_"/>
    <x v="1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m/>
    <m/>
    <x v="0"/>
    <m/>
    <m/>
    <s v="-"/>
    <m/>
    <m/>
    <s v="-"/>
    <m/>
    <m/>
    <s v="-"/>
    <m/>
    <m/>
    <s v="-"/>
    <m/>
    <m/>
    <s v="-"/>
    <m/>
    <m/>
    <s v="-"/>
    <m/>
    <m/>
    <s v="-"/>
    <m/>
    <m/>
    <n v="500"/>
    <n v="0"/>
    <n v="0"/>
    <n v="0"/>
    <n v="500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P"/>
    <s v="ACTIVITES PEDAGO. "/>
    <x v="0"/>
    <s v="AP        BOP141"/>
    <s v="_"/>
    <x v="1"/>
    <s v="AP        BOP141    13ADP"/>
    <s v="_"/>
    <x v="2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m/>
    <m/>
    <x v="0"/>
    <m/>
    <m/>
    <s v="-"/>
    <m/>
    <m/>
    <s v="-"/>
    <m/>
    <m/>
    <s v="-"/>
    <m/>
    <m/>
    <s v="-"/>
    <m/>
    <m/>
    <s v="-"/>
    <m/>
    <m/>
    <s v="-"/>
    <m/>
    <m/>
    <s v="-"/>
    <m/>
    <m/>
    <n v="200"/>
    <n v="0"/>
    <n v="0"/>
    <n v="0"/>
    <n v="200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P"/>
    <s v="ACTIVITES PEDAGO. "/>
    <x v="0"/>
    <s v="AP        BOP141"/>
    <s v="_"/>
    <x v="1"/>
    <s v="AP        BOP141    13AIP"/>
    <s v="_"/>
    <x v="3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m/>
    <m/>
    <x v="0"/>
    <m/>
    <m/>
    <s v="-"/>
    <m/>
    <m/>
    <s v="-"/>
    <m/>
    <m/>
    <s v="-"/>
    <m/>
    <m/>
    <s v="-"/>
    <m/>
    <m/>
    <s v="-"/>
    <m/>
    <m/>
    <s v="-"/>
    <m/>
    <m/>
    <s v="-"/>
    <m/>
    <m/>
    <n v="400"/>
    <n v="0"/>
    <n v="0"/>
    <n v="0"/>
    <n v="400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P"/>
    <s v="ACTIVITES PEDAGO. "/>
    <x v="0"/>
    <s v="AP        BOP141"/>
    <s v="_"/>
    <x v="1"/>
    <s v="AP        BOP141    13AIP"/>
    <s v="_"/>
    <x v="3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s v="624000"/>
    <s v="TRANSP.B&amp;P. H.VOY.S."/>
    <x v="1"/>
    <m/>
    <m/>
    <s v="-"/>
    <m/>
    <m/>
    <s v="-"/>
    <m/>
    <m/>
    <s v="-"/>
    <m/>
    <m/>
    <s v="-"/>
    <m/>
    <m/>
    <s v="-"/>
    <m/>
    <m/>
    <s v="-"/>
    <m/>
    <m/>
    <s v="-"/>
    <m/>
    <m/>
    <n v="0"/>
    <n v="232.79"/>
    <n v="232.79"/>
    <n v="0"/>
    <n v="-232.79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P"/>
    <s v="ACTIVITES PEDAGO. "/>
    <x v="0"/>
    <s v="AP        BOP141"/>
    <s v="_"/>
    <x v="1"/>
    <s v="AP        BOP141    13COR"/>
    <s v="_"/>
    <x v="4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m/>
    <m/>
    <x v="0"/>
    <m/>
    <m/>
    <s v="-"/>
    <m/>
    <m/>
    <s v="-"/>
    <m/>
    <m/>
    <s v="-"/>
    <m/>
    <m/>
    <s v="-"/>
    <m/>
    <m/>
    <s v="-"/>
    <m/>
    <m/>
    <s v="-"/>
    <m/>
    <m/>
    <s v="-"/>
    <m/>
    <m/>
    <n v="3340"/>
    <n v="0"/>
    <n v="0"/>
    <n v="0"/>
    <n v="3340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P"/>
    <s v="ACTIVITES PEDAGO. "/>
    <x v="0"/>
    <s v="AP        BOP141"/>
    <s v="_"/>
    <x v="1"/>
    <s v="AP        BOP141    13COR"/>
    <s v="_"/>
    <x v="4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s v="606400"/>
    <s v="FOURN.ADMINISTRATIVE"/>
    <x v="2"/>
    <m/>
    <m/>
    <s v="-"/>
    <m/>
    <m/>
    <s v="-"/>
    <m/>
    <m/>
    <s v="-"/>
    <m/>
    <m/>
    <s v="-"/>
    <m/>
    <m/>
    <s v="-"/>
    <m/>
    <m/>
    <s v="-"/>
    <m/>
    <m/>
    <s v="-"/>
    <m/>
    <m/>
    <n v="0"/>
    <n v="3339.99"/>
    <n v="3339.99"/>
    <n v="0"/>
    <n v="-3339.99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P"/>
    <s v="ACTIVITES PEDAGO. "/>
    <x v="0"/>
    <s v="AP        BOP141"/>
    <s v="_"/>
    <x v="1"/>
    <s v="AP        BOP141    13CR-"/>
    <s v="_"/>
    <x v="5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m/>
    <m/>
    <x v="0"/>
    <m/>
    <m/>
    <s v="-"/>
    <m/>
    <m/>
    <s v="-"/>
    <m/>
    <m/>
    <s v="-"/>
    <m/>
    <m/>
    <s v="-"/>
    <m/>
    <m/>
    <s v="-"/>
    <m/>
    <m/>
    <s v="-"/>
    <m/>
    <m/>
    <s v="-"/>
    <m/>
    <m/>
    <n v="2000"/>
    <n v="0"/>
    <n v="0"/>
    <n v="0"/>
    <n v="2000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P"/>
    <s v="ACTIVITES PEDAGO. "/>
    <x v="0"/>
    <s v="AP        BOP141"/>
    <s v="_"/>
    <x v="1"/>
    <s v="AP        BOP141    13EAC"/>
    <s v="_"/>
    <x v="6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m/>
    <m/>
    <x v="0"/>
    <m/>
    <m/>
    <s v="-"/>
    <m/>
    <m/>
    <s v="-"/>
    <m/>
    <m/>
    <s v="-"/>
    <m/>
    <m/>
    <s v="-"/>
    <m/>
    <m/>
    <s v="-"/>
    <m/>
    <m/>
    <s v="-"/>
    <m/>
    <m/>
    <s v="-"/>
    <m/>
    <m/>
    <n v="500"/>
    <n v="0"/>
    <n v="0"/>
    <n v="0"/>
    <n v="500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P"/>
    <s v="ACTIVITES PEDAGO. "/>
    <x v="0"/>
    <s v="AP        BOP141"/>
    <s v="_"/>
    <x v="1"/>
    <s v="AP        BOP141    13MS-"/>
    <s v="_"/>
    <x v="7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m/>
    <m/>
    <x v="0"/>
    <m/>
    <m/>
    <s v="-"/>
    <m/>
    <m/>
    <s v="-"/>
    <m/>
    <m/>
    <s v="-"/>
    <m/>
    <m/>
    <s v="-"/>
    <m/>
    <m/>
    <s v="-"/>
    <m/>
    <m/>
    <s v="-"/>
    <m/>
    <m/>
    <s v="-"/>
    <m/>
    <m/>
    <n v="8625.08"/>
    <n v="0"/>
    <n v="0"/>
    <n v="0"/>
    <n v="8625.08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P"/>
    <s v="ACTIVITES PEDAGO. "/>
    <x v="0"/>
    <s v="AP        BOP141"/>
    <s v="_"/>
    <x v="1"/>
    <s v="AP        BOP141    13MS-"/>
    <s v="_"/>
    <x v="7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s v="606210"/>
    <s v="MANUELS SCOLAIRES"/>
    <x v="3"/>
    <m/>
    <m/>
    <s v="-"/>
    <m/>
    <m/>
    <s v="-"/>
    <m/>
    <m/>
    <s v="-"/>
    <m/>
    <m/>
    <s v="-"/>
    <m/>
    <m/>
    <s v="-"/>
    <m/>
    <m/>
    <s v="-"/>
    <m/>
    <m/>
    <s v="-"/>
    <m/>
    <m/>
    <n v="0"/>
    <n v="8152.99"/>
    <n v="8152.99"/>
    <n v="0"/>
    <n v="-8152.99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P"/>
    <s v="ACTIVITES PEDAGO. "/>
    <x v="0"/>
    <s v="AP        BOP141"/>
    <s v="_"/>
    <x v="1"/>
    <s v="AP        BOP141    13REP"/>
    <s v="_"/>
    <x v="8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m/>
    <m/>
    <x v="0"/>
    <m/>
    <m/>
    <s v="-"/>
    <m/>
    <m/>
    <s v="-"/>
    <m/>
    <m/>
    <s v="-"/>
    <m/>
    <m/>
    <s v="-"/>
    <m/>
    <m/>
    <s v="-"/>
    <m/>
    <m/>
    <s v="-"/>
    <m/>
    <m/>
    <s v="-"/>
    <m/>
    <m/>
    <n v="1666.27"/>
    <n v="0"/>
    <n v="0"/>
    <n v="0"/>
    <n v="1666.27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P"/>
    <s v="ACTIVITES PEDAGO. "/>
    <x v="0"/>
    <s v="AP        BOP141"/>
    <s v="_"/>
    <x v="1"/>
    <s v="AP        BOP141    13REP"/>
    <s v="_"/>
    <x v="8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s v="651600"/>
    <s v="DROITS AUTEUR REPRO."/>
    <x v="4"/>
    <m/>
    <m/>
    <s v="-"/>
    <m/>
    <m/>
    <s v="-"/>
    <m/>
    <m/>
    <s v="-"/>
    <m/>
    <m/>
    <s v="-"/>
    <m/>
    <m/>
    <s v="-"/>
    <m/>
    <m/>
    <s v="-"/>
    <m/>
    <m/>
    <s v="-"/>
    <m/>
    <m/>
    <n v="0"/>
    <n v="1666.27"/>
    <n v="1666.27"/>
    <n v="0"/>
    <n v="-1666.27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P"/>
    <s v="ACTIVITES PEDAGO. "/>
    <x v="0"/>
    <s v="AP        BOP141"/>
    <s v="_"/>
    <x v="1"/>
    <s v="AP        BOP141    13TIC"/>
    <s v="_"/>
    <x v="9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m/>
    <m/>
    <x v="0"/>
    <m/>
    <m/>
    <s v="-"/>
    <m/>
    <m/>
    <s v="-"/>
    <m/>
    <m/>
    <s v="-"/>
    <m/>
    <m/>
    <s v="-"/>
    <m/>
    <m/>
    <s v="-"/>
    <m/>
    <m/>
    <s v="-"/>
    <m/>
    <m/>
    <s v="-"/>
    <m/>
    <m/>
    <n v="4450"/>
    <n v="0"/>
    <n v="0"/>
    <n v="0"/>
    <n v="4450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P"/>
    <s v="ACTIVITES PEDAGO. "/>
    <x v="0"/>
    <s v="AP        BOP141"/>
    <s v="_"/>
    <x v="1"/>
    <s v="AP        BOP141    13TIC"/>
    <s v="_"/>
    <x v="9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s v="606800"/>
    <s v="MAT.MOB.OUT.NON IMM."/>
    <x v="5"/>
    <m/>
    <m/>
    <s v="-"/>
    <m/>
    <m/>
    <s v="-"/>
    <m/>
    <m/>
    <s v="-"/>
    <m/>
    <m/>
    <s v="-"/>
    <m/>
    <m/>
    <s v="-"/>
    <m/>
    <m/>
    <s v="-"/>
    <m/>
    <m/>
    <s v="-"/>
    <m/>
    <m/>
    <n v="0"/>
    <n v="1217.27"/>
    <n v="1217.27"/>
    <n v="0"/>
    <n v="-1217.27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P"/>
    <s v="ACTIVITES PEDAGO. "/>
    <x v="0"/>
    <s v="AP        BOP141"/>
    <s v="_"/>
    <x v="1"/>
    <s v="AP        BOP141    13TIC"/>
    <s v="_"/>
    <x v="9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s v="651100"/>
    <s v="REDEV.CONCESS.BREV."/>
    <x v="6"/>
    <m/>
    <m/>
    <s v="-"/>
    <m/>
    <m/>
    <s v="-"/>
    <m/>
    <m/>
    <s v="-"/>
    <m/>
    <m/>
    <s v="-"/>
    <m/>
    <m/>
    <s v="-"/>
    <m/>
    <m/>
    <s v="-"/>
    <m/>
    <m/>
    <s v="-"/>
    <m/>
    <m/>
    <n v="0"/>
    <n v="2684.3"/>
    <n v="2684.3"/>
    <n v="0"/>
    <n v="-2684.3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P"/>
    <s v="ACTIVITES PEDAGO. "/>
    <x v="0"/>
    <s v="AP        ENSGEN"/>
    <s v="_"/>
    <x v="2"/>
    <s v="AP        ENSGEN    0DIVERS"/>
    <s v="_"/>
    <x v="10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m/>
    <m/>
    <x v="0"/>
    <m/>
    <m/>
    <s v="-"/>
    <m/>
    <m/>
    <s v="-"/>
    <m/>
    <m/>
    <s v="-"/>
    <m/>
    <m/>
    <s v="-"/>
    <m/>
    <m/>
    <s v="-"/>
    <m/>
    <m/>
    <s v="-"/>
    <m/>
    <m/>
    <s v="-"/>
    <m/>
    <m/>
    <n v="1000"/>
    <n v="0"/>
    <n v="0"/>
    <n v="0"/>
    <n v="1000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P"/>
    <s v="ACTIVITES PEDAGO. "/>
    <x v="0"/>
    <s v="AP        ENSGEN"/>
    <s v="_"/>
    <x v="2"/>
    <s v="AP        ENSGEN    0DIVERS"/>
    <s v="_"/>
    <x v="10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s v="606700"/>
    <s v="F.MAT.ENS. NON IMM."/>
    <x v="7"/>
    <m/>
    <m/>
    <s v="-"/>
    <m/>
    <m/>
    <s v="-"/>
    <m/>
    <m/>
    <s v="-"/>
    <m/>
    <m/>
    <s v="-"/>
    <m/>
    <m/>
    <s v="-"/>
    <m/>
    <m/>
    <s v="-"/>
    <m/>
    <m/>
    <s v="-"/>
    <m/>
    <m/>
    <n v="0"/>
    <n v="783.36"/>
    <n v="783.36"/>
    <n v="0"/>
    <n v="-783.36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P"/>
    <s v="ACTIVITES PEDAGO. "/>
    <x v="0"/>
    <s v="AP        ENSGEN"/>
    <s v="_"/>
    <x v="2"/>
    <s v="AP        ENSGEN    0SORTIES"/>
    <s v="_"/>
    <x v="11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m/>
    <m/>
    <x v="0"/>
    <m/>
    <m/>
    <s v="-"/>
    <m/>
    <m/>
    <s v="-"/>
    <m/>
    <m/>
    <s v="-"/>
    <m/>
    <m/>
    <s v="-"/>
    <m/>
    <m/>
    <s v="-"/>
    <m/>
    <m/>
    <s v="-"/>
    <m/>
    <m/>
    <s v="-"/>
    <m/>
    <m/>
    <n v="6000"/>
    <n v="0"/>
    <n v="0"/>
    <n v="0"/>
    <n v="6000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P"/>
    <s v="ACTIVITES PEDAGO. "/>
    <x v="0"/>
    <s v="AP        ENSGEN"/>
    <s v="_"/>
    <x v="2"/>
    <s v="AP        ENSGEN    0SORTIES"/>
    <s v="_"/>
    <x v="11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s v="611100"/>
    <s v="/S-TRAIT. REST. H."/>
    <x v="8"/>
    <m/>
    <m/>
    <s v="-"/>
    <m/>
    <m/>
    <s v="-"/>
    <m/>
    <m/>
    <s v="-"/>
    <m/>
    <m/>
    <s v="-"/>
    <m/>
    <m/>
    <s v="-"/>
    <m/>
    <m/>
    <s v="-"/>
    <m/>
    <m/>
    <s v="-"/>
    <m/>
    <m/>
    <n v="0"/>
    <n v="1120"/>
    <n v="1120"/>
    <n v="0"/>
    <n v="-1120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P"/>
    <s v="ACTIVITES PEDAGO. "/>
    <x v="0"/>
    <s v="AP        ENSGEN"/>
    <s v="_"/>
    <x v="2"/>
    <s v="AP        ENSGEN    0SORTIES"/>
    <s v="_"/>
    <x v="11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s v="624000"/>
    <s v="TRANSP.B&amp;P. H.VOY.S."/>
    <x v="1"/>
    <m/>
    <m/>
    <s v="-"/>
    <m/>
    <m/>
    <s v="-"/>
    <m/>
    <m/>
    <s v="-"/>
    <m/>
    <m/>
    <s v="-"/>
    <m/>
    <m/>
    <s v="-"/>
    <m/>
    <m/>
    <s v="-"/>
    <m/>
    <m/>
    <s v="-"/>
    <m/>
    <m/>
    <n v="0"/>
    <n v="1027.77"/>
    <n v="1027.77"/>
    <n v="0"/>
    <n v="-1027.77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P"/>
    <s v="ACTIVITES PEDAGO. "/>
    <x v="0"/>
    <s v="AP        ENSGEN"/>
    <s v="_"/>
    <x v="2"/>
    <s v="AP        ENSGEN    0SORTIES"/>
    <s v="_"/>
    <x v="11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s v="625112"/>
    <s v="VOY.DEPL.EL. SORTIES"/>
    <x v="9"/>
    <m/>
    <m/>
    <s v="-"/>
    <m/>
    <m/>
    <s v="-"/>
    <m/>
    <m/>
    <s v="-"/>
    <m/>
    <m/>
    <s v="-"/>
    <m/>
    <m/>
    <s v="-"/>
    <m/>
    <m/>
    <s v="-"/>
    <m/>
    <m/>
    <s v="-"/>
    <m/>
    <m/>
    <n v="0"/>
    <n v="2430.0500000000002"/>
    <n v="2430.0500000000002"/>
    <n v="0"/>
    <n v="-2430.0500000000002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P"/>
    <s v="ACTIVITES PEDAGO. "/>
    <x v="0"/>
    <s v="AP        ENSGEN"/>
    <s v="_"/>
    <x v="2"/>
    <s v="AP        ENSGEN    2CDI"/>
    <s v="_"/>
    <x v="12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m/>
    <m/>
    <x v="0"/>
    <m/>
    <m/>
    <s v="-"/>
    <m/>
    <m/>
    <s v="-"/>
    <m/>
    <m/>
    <s v="-"/>
    <m/>
    <m/>
    <s v="-"/>
    <m/>
    <m/>
    <s v="-"/>
    <m/>
    <m/>
    <s v="-"/>
    <m/>
    <m/>
    <s v="-"/>
    <m/>
    <m/>
    <n v="4000"/>
    <n v="0"/>
    <n v="0"/>
    <n v="0"/>
    <n v="4000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P"/>
    <s v="ACTIVITES PEDAGO. "/>
    <x v="0"/>
    <s v="AP        ENSGEN"/>
    <s v="_"/>
    <x v="2"/>
    <s v="AP        ENSGEN    2CDI"/>
    <s v="_"/>
    <x v="12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s v="606220"/>
    <s v="OUVRAGES CDI"/>
    <x v="10"/>
    <m/>
    <m/>
    <s v="-"/>
    <m/>
    <m/>
    <s v="-"/>
    <m/>
    <m/>
    <s v="-"/>
    <m/>
    <m/>
    <s v="-"/>
    <m/>
    <m/>
    <s v="-"/>
    <m/>
    <m/>
    <s v="-"/>
    <m/>
    <m/>
    <s v="-"/>
    <m/>
    <m/>
    <n v="0"/>
    <n v="1083.96"/>
    <n v="1083.96"/>
    <n v="0"/>
    <n v="-1083.96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P"/>
    <s v="ACTIVITES PEDAGO. "/>
    <x v="0"/>
    <s v="AP        ENSGEN"/>
    <s v="_"/>
    <x v="2"/>
    <s v="AP        ENSGEN    2CDI"/>
    <s v="_"/>
    <x v="12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s v="606230"/>
    <s v="DOC. ADMIN."/>
    <x v="11"/>
    <m/>
    <m/>
    <s v="-"/>
    <m/>
    <m/>
    <s v="-"/>
    <m/>
    <m/>
    <s v="-"/>
    <m/>
    <m/>
    <s v="-"/>
    <m/>
    <m/>
    <s v="-"/>
    <m/>
    <m/>
    <s v="-"/>
    <m/>
    <m/>
    <s v="-"/>
    <m/>
    <m/>
    <n v="0"/>
    <n v="1159.06"/>
    <n v="1159.06"/>
    <n v="0"/>
    <n v="-1159.06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P"/>
    <s v="ACTIVITES PEDAGO. "/>
    <x v="0"/>
    <s v="AP        ENSGEN"/>
    <s v="_"/>
    <x v="2"/>
    <s v="AP        ENSGEN    2CDI"/>
    <s v="_"/>
    <x v="12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s v="618120"/>
    <s v="OUVR. NUMERIQ. CDI"/>
    <x v="12"/>
    <m/>
    <m/>
    <s v="-"/>
    <m/>
    <m/>
    <s v="-"/>
    <m/>
    <m/>
    <s v="-"/>
    <m/>
    <m/>
    <s v="-"/>
    <m/>
    <m/>
    <s v="-"/>
    <m/>
    <m/>
    <s v="-"/>
    <m/>
    <m/>
    <s v="-"/>
    <m/>
    <m/>
    <n v="0"/>
    <n v="789"/>
    <n v="789"/>
    <n v="0"/>
    <n v="-789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P"/>
    <s v="ACTIVITES PEDAGO. "/>
    <x v="0"/>
    <s v="AP        ENSGEN"/>
    <s v="_"/>
    <x v="2"/>
    <s v="AP        ENSGEN    2CONCOURS"/>
    <s v="_"/>
    <x v="13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m/>
    <m/>
    <x v="0"/>
    <m/>
    <m/>
    <s v="-"/>
    <m/>
    <m/>
    <s v="-"/>
    <m/>
    <m/>
    <s v="-"/>
    <m/>
    <m/>
    <s v="-"/>
    <m/>
    <m/>
    <s v="-"/>
    <m/>
    <m/>
    <s v="-"/>
    <m/>
    <m/>
    <s v="-"/>
    <m/>
    <m/>
    <n v="1880"/>
    <n v="0"/>
    <n v="0"/>
    <n v="0"/>
    <n v="1880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P"/>
    <s v="ACTIVITES PEDAGO. "/>
    <x v="0"/>
    <s v="AP        ENSGEN"/>
    <s v="_"/>
    <x v="2"/>
    <s v="AP        ENSGEN    2CONCOURS"/>
    <s v="_"/>
    <x v="13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s v="628600"/>
    <s v="CONCOURS DIVERS"/>
    <x v="13"/>
    <m/>
    <m/>
    <s v="-"/>
    <m/>
    <m/>
    <s v="-"/>
    <m/>
    <m/>
    <s v="-"/>
    <m/>
    <m/>
    <s v="-"/>
    <m/>
    <m/>
    <s v="-"/>
    <m/>
    <m/>
    <s v="-"/>
    <m/>
    <m/>
    <s v="-"/>
    <m/>
    <m/>
    <n v="0"/>
    <n v="1880"/>
    <n v="1880"/>
    <n v="0"/>
    <n v="-1880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P"/>
    <s v="ACTIVITES PEDAGO. "/>
    <x v="0"/>
    <s v="AP        ENSGEN"/>
    <s v="_"/>
    <x v="2"/>
    <s v="AP        ENSGEN    2DISCIPLI"/>
    <s v="_"/>
    <x v="14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m/>
    <m/>
    <x v="0"/>
    <m/>
    <m/>
    <s v="-"/>
    <m/>
    <m/>
    <s v="-"/>
    <m/>
    <m/>
    <s v="-"/>
    <m/>
    <m/>
    <s v="-"/>
    <m/>
    <m/>
    <s v="-"/>
    <m/>
    <m/>
    <s v="-"/>
    <m/>
    <m/>
    <s v="-"/>
    <m/>
    <m/>
    <n v="8540.16"/>
    <n v="0"/>
    <n v="0"/>
    <n v="0"/>
    <n v="8540.16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P"/>
    <s v="ACTIVITES PEDAGO. "/>
    <x v="0"/>
    <s v="AP        ENSGEN"/>
    <s v="_"/>
    <x v="2"/>
    <s v="AP        ENSGEN    2DISCIPLI"/>
    <s v="_"/>
    <x v="14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s v="601100"/>
    <s v="ACHATS DE DENREES"/>
    <x v="14"/>
    <m/>
    <m/>
    <s v="-"/>
    <m/>
    <m/>
    <s v="-"/>
    <m/>
    <m/>
    <s v="-"/>
    <m/>
    <m/>
    <s v="-"/>
    <m/>
    <m/>
    <s v="-"/>
    <m/>
    <m/>
    <s v="-"/>
    <m/>
    <m/>
    <s v="-"/>
    <m/>
    <m/>
    <n v="0"/>
    <n v="23.6"/>
    <n v="23.6"/>
    <n v="0"/>
    <n v="-23.6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P"/>
    <s v="ACTIVITES PEDAGO. "/>
    <x v="0"/>
    <s v="AP        ENSGEN"/>
    <s v="_"/>
    <x v="2"/>
    <s v="AP        ENSGEN    2DISCIPLI"/>
    <s v="_"/>
    <x v="14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s v="606700"/>
    <s v="F.MAT.ENS. NON IMM."/>
    <x v="7"/>
    <m/>
    <m/>
    <s v="-"/>
    <m/>
    <m/>
    <s v="-"/>
    <m/>
    <m/>
    <s v="-"/>
    <m/>
    <m/>
    <s v="-"/>
    <m/>
    <m/>
    <s v="-"/>
    <m/>
    <m/>
    <s v="-"/>
    <m/>
    <m/>
    <s v="-"/>
    <m/>
    <m/>
    <n v="0"/>
    <n v="6522.74"/>
    <n v="6522.74"/>
    <n v="0"/>
    <n v="-6522.74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P"/>
    <s v="ACTIVITES PEDAGO. "/>
    <x v="0"/>
    <s v="AP        ENSGEN"/>
    <s v="_"/>
    <x v="2"/>
    <s v="AP        ENSGEN    2DIVERS"/>
    <s v="_"/>
    <x v="15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m/>
    <m/>
    <x v="0"/>
    <m/>
    <m/>
    <s v="-"/>
    <m/>
    <m/>
    <s v="-"/>
    <m/>
    <m/>
    <s v="-"/>
    <m/>
    <m/>
    <s v="-"/>
    <m/>
    <m/>
    <s v="-"/>
    <m/>
    <m/>
    <s v="-"/>
    <m/>
    <m/>
    <s v="-"/>
    <m/>
    <m/>
    <n v="100"/>
    <n v="0"/>
    <n v="0"/>
    <n v="0"/>
    <n v="100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P"/>
    <s v="ACTIVITES PEDAGO. "/>
    <x v="0"/>
    <s v="AP        ENSGEN"/>
    <s v="_"/>
    <x v="2"/>
    <s v="AP        ENSGEN    2DIVERS"/>
    <s v="_"/>
    <x v="15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s v="606700"/>
    <s v="F.MAT.ENS. NON IMM."/>
    <x v="7"/>
    <m/>
    <m/>
    <s v="-"/>
    <m/>
    <m/>
    <s v="-"/>
    <m/>
    <m/>
    <s v="-"/>
    <m/>
    <m/>
    <s v="-"/>
    <m/>
    <m/>
    <s v="-"/>
    <m/>
    <m/>
    <s v="-"/>
    <m/>
    <m/>
    <s v="-"/>
    <m/>
    <m/>
    <n v="0"/>
    <n v="66.599999999999994"/>
    <n v="66.599999999999994"/>
    <n v="0"/>
    <n v="-66.599999999999994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P"/>
    <s v="ACTIVITES PEDAGO. "/>
    <x v="0"/>
    <s v="AP        ENSGEN"/>
    <s v="_"/>
    <x v="2"/>
    <s v="AP        ENSGEN    2SORTIES"/>
    <s v="_"/>
    <x v="16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m/>
    <m/>
    <x v="0"/>
    <m/>
    <m/>
    <s v="-"/>
    <m/>
    <m/>
    <s v="-"/>
    <m/>
    <m/>
    <s v="-"/>
    <m/>
    <m/>
    <s v="-"/>
    <m/>
    <m/>
    <s v="-"/>
    <m/>
    <m/>
    <s v="-"/>
    <m/>
    <m/>
    <s v="-"/>
    <m/>
    <m/>
    <n v="7370.63"/>
    <n v="0"/>
    <n v="0"/>
    <n v="0"/>
    <n v="7370.63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P"/>
    <s v="ACTIVITES PEDAGO. "/>
    <x v="0"/>
    <s v="AP        ENSGEN"/>
    <s v="_"/>
    <x v="2"/>
    <s v="AP        ENSGEN    2SORTIES"/>
    <s v="_"/>
    <x v="16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s v="624000"/>
    <s v="TRANSP.B&amp;P. H.VOY.S."/>
    <x v="1"/>
    <m/>
    <m/>
    <s v="-"/>
    <m/>
    <m/>
    <s v="-"/>
    <m/>
    <m/>
    <s v="-"/>
    <m/>
    <m/>
    <s v="-"/>
    <m/>
    <m/>
    <s v="-"/>
    <m/>
    <m/>
    <s v="-"/>
    <m/>
    <m/>
    <s v="-"/>
    <m/>
    <m/>
    <n v="0"/>
    <n v="6493.08"/>
    <n v="6493.08"/>
    <n v="0"/>
    <n v="-6493.08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P"/>
    <s v="ACTIVITES PEDAGO. "/>
    <x v="0"/>
    <s v="AP        ENSGEN"/>
    <s v="_"/>
    <x v="2"/>
    <s v="AP        ENSGEN    2SORTIES"/>
    <s v="_"/>
    <x v="16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s v="625112"/>
    <s v="VOY.DEPL.EL. SORTIES"/>
    <x v="9"/>
    <m/>
    <m/>
    <s v="-"/>
    <m/>
    <m/>
    <s v="-"/>
    <m/>
    <m/>
    <s v="-"/>
    <m/>
    <m/>
    <s v="-"/>
    <m/>
    <m/>
    <s v="-"/>
    <m/>
    <m/>
    <s v="-"/>
    <m/>
    <m/>
    <s v="-"/>
    <m/>
    <m/>
    <n v="0"/>
    <n v="673.35"/>
    <n v="673.35"/>
    <n v="0"/>
    <n v="-673.35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P"/>
    <s v="ACTIVITES PEDAGO. "/>
    <x v="0"/>
    <s v="AP        ENSGEN"/>
    <s v="_"/>
    <x v="2"/>
    <s v="AP        ENSGEN    2SPEE"/>
    <s v="_"/>
    <x v="17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m/>
    <m/>
    <x v="0"/>
    <m/>
    <m/>
    <s v="-"/>
    <m/>
    <m/>
    <s v="-"/>
    <m/>
    <m/>
    <s v="-"/>
    <m/>
    <m/>
    <s v="-"/>
    <m/>
    <m/>
    <s v="-"/>
    <m/>
    <m/>
    <s v="-"/>
    <m/>
    <m/>
    <s v="-"/>
    <m/>
    <m/>
    <n v="5000"/>
    <n v="0"/>
    <n v="0"/>
    <n v="0"/>
    <n v="5000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P"/>
    <s v="ACTIVITES PEDAGO. "/>
    <x v="0"/>
    <s v="AP        ENSGEN"/>
    <s v="_"/>
    <x v="2"/>
    <s v="AP        ENSGEN    2SPEE"/>
    <s v="_"/>
    <x v="17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s v="606700"/>
    <s v="F.MAT.ENS. NON IMM."/>
    <x v="7"/>
    <m/>
    <m/>
    <s v="-"/>
    <m/>
    <m/>
    <s v="-"/>
    <m/>
    <m/>
    <s v="-"/>
    <m/>
    <m/>
    <s v="-"/>
    <m/>
    <m/>
    <s v="-"/>
    <m/>
    <m/>
    <s v="-"/>
    <m/>
    <m/>
    <s v="-"/>
    <m/>
    <m/>
    <n v="0"/>
    <n v="285.02999999999997"/>
    <n v="285.02999999999997"/>
    <n v="0"/>
    <n v="-285.02999999999997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P"/>
    <s v="ACTIVITES PEDAGO. "/>
    <x v="0"/>
    <s v="AP        ENSGEN"/>
    <s v="_"/>
    <x v="2"/>
    <s v="AP        ENSGEN    2SPEE"/>
    <s v="_"/>
    <x v="17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s v="606800"/>
    <s v="MAT.MOB.OUT.NON IMM."/>
    <x v="5"/>
    <m/>
    <m/>
    <s v="-"/>
    <m/>
    <m/>
    <s v="-"/>
    <m/>
    <m/>
    <s v="-"/>
    <m/>
    <m/>
    <s v="-"/>
    <m/>
    <m/>
    <s v="-"/>
    <m/>
    <m/>
    <s v="-"/>
    <m/>
    <m/>
    <s v="-"/>
    <m/>
    <m/>
    <n v="0"/>
    <n v="4628.84"/>
    <n v="4628.84"/>
    <n v="0"/>
    <n v="-4628.84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P"/>
    <s v="ACTIVITES PEDAGO. "/>
    <x v="0"/>
    <s v="AP        ENSGEN"/>
    <s v="_"/>
    <x v="2"/>
    <s v="AP        ENSGEN    2ULIS"/>
    <s v="_"/>
    <x v="18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m/>
    <m/>
    <x v="0"/>
    <m/>
    <m/>
    <s v="-"/>
    <m/>
    <m/>
    <s v="-"/>
    <m/>
    <m/>
    <s v="-"/>
    <m/>
    <m/>
    <s v="-"/>
    <m/>
    <m/>
    <s v="-"/>
    <m/>
    <m/>
    <s v="-"/>
    <m/>
    <m/>
    <s v="-"/>
    <m/>
    <m/>
    <n v="640"/>
    <n v="0"/>
    <n v="0"/>
    <n v="0"/>
    <n v="640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P"/>
    <s v="ACTIVITES PEDAGO. "/>
    <x v="0"/>
    <s v="AP        ENSGEN"/>
    <s v="_"/>
    <x v="2"/>
    <s v="AP        ENSGEN    2ULIS"/>
    <s v="_"/>
    <x v="18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s v="622000"/>
    <s v="REMUN.INTERM.HONOR."/>
    <x v="15"/>
    <m/>
    <m/>
    <s v="-"/>
    <m/>
    <m/>
    <s v="-"/>
    <m/>
    <m/>
    <s v="-"/>
    <m/>
    <m/>
    <s v="-"/>
    <m/>
    <m/>
    <s v="-"/>
    <m/>
    <m/>
    <s v="-"/>
    <m/>
    <m/>
    <s v="-"/>
    <m/>
    <m/>
    <n v="0"/>
    <n v="640"/>
    <n v="640"/>
    <n v="0"/>
    <n v="-640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P"/>
    <s v="ACTIVITES PEDAGO. "/>
    <x v="0"/>
    <s v="AP        EPS"/>
    <s v="_"/>
    <x v="3"/>
    <s v="AP        EPS       2DEPSLOC"/>
    <s v="_"/>
    <x v="19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m/>
    <m/>
    <x v="0"/>
    <m/>
    <m/>
    <s v="-"/>
    <m/>
    <m/>
    <s v="-"/>
    <m/>
    <m/>
    <s v="-"/>
    <m/>
    <m/>
    <s v="-"/>
    <m/>
    <m/>
    <s v="-"/>
    <m/>
    <m/>
    <s v="-"/>
    <m/>
    <m/>
    <s v="-"/>
    <m/>
    <m/>
    <n v="19499"/>
    <n v="0"/>
    <n v="0"/>
    <n v="0"/>
    <n v="19499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P"/>
    <s v="ACTIVITES PEDAGO. "/>
    <x v="0"/>
    <s v="AP        EPS"/>
    <s v="_"/>
    <x v="3"/>
    <s v="AP        EPS       2DEPSLOC"/>
    <s v="_"/>
    <x v="19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s v="613200"/>
    <s v="AUTRES LOCATIONS"/>
    <x v="16"/>
    <m/>
    <m/>
    <s v="-"/>
    <m/>
    <m/>
    <s v="-"/>
    <m/>
    <m/>
    <s v="-"/>
    <m/>
    <m/>
    <s v="-"/>
    <m/>
    <m/>
    <s v="-"/>
    <m/>
    <m/>
    <s v="-"/>
    <m/>
    <m/>
    <s v="-"/>
    <m/>
    <m/>
    <n v="0"/>
    <n v="15598.2"/>
    <n v="15598.2"/>
    <n v="0"/>
    <n v="-15598.2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P"/>
    <s v="ACTIVITES PEDAGO. "/>
    <x v="0"/>
    <s v="AP        EPS"/>
    <s v="_"/>
    <x v="3"/>
    <s v="AP        EPS       2DEPSTRAN"/>
    <s v="_"/>
    <x v="20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m/>
    <m/>
    <x v="0"/>
    <m/>
    <m/>
    <s v="-"/>
    <m/>
    <m/>
    <s v="-"/>
    <m/>
    <m/>
    <s v="-"/>
    <m/>
    <m/>
    <s v="-"/>
    <m/>
    <m/>
    <s v="-"/>
    <m/>
    <m/>
    <s v="-"/>
    <m/>
    <m/>
    <s v="-"/>
    <m/>
    <m/>
    <n v="5501"/>
    <n v="0"/>
    <n v="0"/>
    <n v="0"/>
    <n v="5501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P"/>
    <s v="ACTIVITES PEDAGO. "/>
    <x v="0"/>
    <s v="AP        EPS"/>
    <s v="_"/>
    <x v="3"/>
    <s v="AP        EPS       2DEPSTRAN"/>
    <s v="_"/>
    <x v="20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s v="624000"/>
    <s v="TRANSP.B&amp;P. H.VOY.S."/>
    <x v="1"/>
    <m/>
    <m/>
    <s v="-"/>
    <m/>
    <m/>
    <s v="-"/>
    <m/>
    <m/>
    <s v="-"/>
    <m/>
    <m/>
    <s v="-"/>
    <m/>
    <m/>
    <s v="-"/>
    <m/>
    <m/>
    <s v="-"/>
    <m/>
    <m/>
    <s v="-"/>
    <m/>
    <m/>
    <n v="0"/>
    <n v="4173.07"/>
    <n v="4173.07"/>
    <n v="0"/>
    <n v="-4173.07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P"/>
    <s v="ACTIVITES PEDAGO. "/>
    <x v="0"/>
    <s v="AP        EPS"/>
    <s v="_"/>
    <x v="3"/>
    <s v="AP        EPS       2SPEEEPS"/>
    <s v="_"/>
    <x v="21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m/>
    <m/>
    <x v="0"/>
    <m/>
    <m/>
    <s v="-"/>
    <m/>
    <m/>
    <s v="-"/>
    <m/>
    <m/>
    <s v="-"/>
    <m/>
    <m/>
    <s v="-"/>
    <m/>
    <m/>
    <s v="-"/>
    <m/>
    <m/>
    <s v="-"/>
    <m/>
    <m/>
    <s v="-"/>
    <m/>
    <m/>
    <n v="100"/>
    <n v="0"/>
    <n v="0"/>
    <n v="0"/>
    <n v="100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P"/>
    <s v="ACTIVITES PEDAGO. "/>
    <x v="0"/>
    <s v="AP        PROJET"/>
    <s v="_"/>
    <x v="4"/>
    <s v="AP        PROJET    0ATAUDIOV"/>
    <s v="_"/>
    <x v="22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m/>
    <m/>
    <x v="0"/>
    <m/>
    <m/>
    <s v="-"/>
    <m/>
    <m/>
    <s v="-"/>
    <m/>
    <m/>
    <s v="-"/>
    <m/>
    <m/>
    <s v="-"/>
    <m/>
    <m/>
    <s v="-"/>
    <m/>
    <m/>
    <s v="-"/>
    <m/>
    <m/>
    <s v="-"/>
    <m/>
    <m/>
    <n v="4136.16"/>
    <n v="0"/>
    <n v="0"/>
    <n v="0"/>
    <n v="4136.16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P"/>
    <s v="ACTIVITES PEDAGO. "/>
    <x v="0"/>
    <s v="AP        PROJET"/>
    <s v="_"/>
    <x v="4"/>
    <s v="AP        PROJET    0DACAUDIO"/>
    <s v="_"/>
    <x v="23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m/>
    <m/>
    <x v="0"/>
    <m/>
    <m/>
    <s v="-"/>
    <m/>
    <m/>
    <s v="-"/>
    <m/>
    <m/>
    <s v="-"/>
    <m/>
    <m/>
    <s v="-"/>
    <m/>
    <m/>
    <s v="-"/>
    <m/>
    <m/>
    <s v="-"/>
    <m/>
    <m/>
    <s v="-"/>
    <m/>
    <m/>
    <n v="2100"/>
    <n v="0"/>
    <n v="0"/>
    <n v="0"/>
    <n v="2100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P"/>
    <s v="ACTIVITES PEDAGO. "/>
    <x v="0"/>
    <s v="AP        PROJET"/>
    <s v="_"/>
    <x v="4"/>
    <s v="AP        PROJET    0DACMANGA"/>
    <s v="_"/>
    <x v="24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m/>
    <m/>
    <x v="0"/>
    <m/>
    <m/>
    <s v="-"/>
    <m/>
    <m/>
    <s v="-"/>
    <m/>
    <m/>
    <s v="-"/>
    <m/>
    <m/>
    <s v="-"/>
    <m/>
    <m/>
    <s v="-"/>
    <m/>
    <m/>
    <s v="-"/>
    <m/>
    <m/>
    <s v="-"/>
    <m/>
    <m/>
    <n v="2100"/>
    <n v="0"/>
    <n v="0"/>
    <n v="0"/>
    <n v="2100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P"/>
    <s v="ACTIVITES PEDAGO. "/>
    <x v="0"/>
    <s v="AP        PROJET"/>
    <s v="_"/>
    <x v="4"/>
    <s v="AP        PROJET    0DACTHEA"/>
    <s v="_"/>
    <x v="25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m/>
    <m/>
    <x v="0"/>
    <m/>
    <m/>
    <s v="-"/>
    <m/>
    <m/>
    <s v="-"/>
    <m/>
    <m/>
    <s v="-"/>
    <m/>
    <m/>
    <s v="-"/>
    <m/>
    <m/>
    <s v="-"/>
    <m/>
    <m/>
    <s v="-"/>
    <m/>
    <m/>
    <s v="-"/>
    <m/>
    <m/>
    <n v="9000"/>
    <n v="0"/>
    <n v="0"/>
    <n v="0"/>
    <n v="9000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P"/>
    <s v="ACTIVITES PEDAGO. "/>
    <x v="0"/>
    <s v="AP        PROJET"/>
    <s v="_"/>
    <x v="4"/>
    <s v="AP        PROJET    0DACTHEA"/>
    <s v="_"/>
    <x v="25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s v="621000"/>
    <s v="PERS. EXT. A L’ETAB."/>
    <x v="17"/>
    <m/>
    <m/>
    <s v="-"/>
    <m/>
    <m/>
    <s v="-"/>
    <m/>
    <m/>
    <s v="-"/>
    <m/>
    <m/>
    <s v="-"/>
    <m/>
    <m/>
    <s v="-"/>
    <m/>
    <m/>
    <s v="-"/>
    <m/>
    <m/>
    <s v="-"/>
    <m/>
    <m/>
    <n v="0"/>
    <n v="2310"/>
    <n v="2310"/>
    <n v="0"/>
    <n v="-2310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P"/>
    <s v="ACTIVITES PEDAGO. "/>
    <x v="0"/>
    <s v="AP        PROJET"/>
    <s v="_"/>
    <x v="4"/>
    <s v="AP        PROJET    13ADPTHEA"/>
    <s v="_"/>
    <x v="26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m/>
    <m/>
    <x v="0"/>
    <m/>
    <m/>
    <s v="-"/>
    <m/>
    <m/>
    <s v="-"/>
    <m/>
    <m/>
    <s v="-"/>
    <m/>
    <m/>
    <s v="-"/>
    <m/>
    <m/>
    <s v="-"/>
    <m/>
    <m/>
    <s v="-"/>
    <m/>
    <m/>
    <s v="-"/>
    <m/>
    <m/>
    <n v="431.31"/>
    <n v="0"/>
    <n v="0"/>
    <n v="0"/>
    <n v="431.31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P"/>
    <s v="ACTIVITES PEDAGO. "/>
    <x v="0"/>
    <s v="AP        PROJET"/>
    <s v="_"/>
    <x v="4"/>
    <s v="AP        PROJET    13ADPTHEA"/>
    <s v="_"/>
    <x v="26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s v="621000"/>
    <s v="PERS. EXT. A L’ETAB."/>
    <x v="17"/>
    <m/>
    <m/>
    <s v="-"/>
    <m/>
    <m/>
    <s v="-"/>
    <m/>
    <m/>
    <s v="-"/>
    <m/>
    <m/>
    <s v="-"/>
    <m/>
    <m/>
    <s v="-"/>
    <m/>
    <m/>
    <s v="-"/>
    <m/>
    <m/>
    <s v="-"/>
    <m/>
    <m/>
    <n v="0"/>
    <n v="385"/>
    <n v="385"/>
    <n v="0"/>
    <n v="-385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P"/>
    <s v="ACTIVITES PEDAGO. "/>
    <x v="0"/>
    <s v="AP        PROJET"/>
    <s v="_"/>
    <x v="4"/>
    <s v="AP        PROJET    2AUDIOVIS"/>
    <s v="_"/>
    <x v="27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m/>
    <m/>
    <x v="0"/>
    <m/>
    <m/>
    <s v="-"/>
    <m/>
    <m/>
    <s v="-"/>
    <m/>
    <m/>
    <s v="-"/>
    <m/>
    <m/>
    <s v="-"/>
    <m/>
    <m/>
    <s v="-"/>
    <m/>
    <m/>
    <s v="-"/>
    <m/>
    <m/>
    <s v="-"/>
    <m/>
    <m/>
    <n v="834.05"/>
    <n v="0"/>
    <n v="0"/>
    <n v="0"/>
    <n v="834.05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P"/>
    <s v="ACTIVITES PEDAGO. "/>
    <x v="0"/>
    <s v="AP        PROJET"/>
    <s v="_"/>
    <x v="4"/>
    <s v="AP        PROJET    2JADEN"/>
    <s v="_"/>
    <x v="28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m/>
    <m/>
    <x v="0"/>
    <m/>
    <m/>
    <s v="-"/>
    <m/>
    <m/>
    <s v="-"/>
    <m/>
    <m/>
    <s v="-"/>
    <m/>
    <m/>
    <s v="-"/>
    <m/>
    <m/>
    <s v="-"/>
    <m/>
    <m/>
    <s v="-"/>
    <m/>
    <m/>
    <s v="-"/>
    <m/>
    <m/>
    <n v="1128.08"/>
    <n v="0"/>
    <n v="0"/>
    <n v="0"/>
    <n v="1128.08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P"/>
    <s v="ACTIVITES PEDAGO. "/>
    <x v="0"/>
    <s v="AP        PROJET"/>
    <s v="_"/>
    <x v="4"/>
    <s v="AP        PROJET    2JADEN"/>
    <s v="_"/>
    <x v="28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s v="606800"/>
    <s v="MAT.MOB.OUT.NON IMM."/>
    <x v="5"/>
    <m/>
    <m/>
    <s v="-"/>
    <m/>
    <m/>
    <s v="-"/>
    <m/>
    <m/>
    <s v="-"/>
    <m/>
    <m/>
    <s v="-"/>
    <m/>
    <m/>
    <s v="-"/>
    <m/>
    <m/>
    <s v="-"/>
    <m/>
    <m/>
    <s v="-"/>
    <m/>
    <m/>
    <n v="0"/>
    <n v="243.1"/>
    <n v="243.1"/>
    <n v="0"/>
    <n v="-243.1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P"/>
    <s v="ACTIVITES PEDAGO. "/>
    <x v="0"/>
    <s v="AP        PROJET"/>
    <s v="_"/>
    <x v="4"/>
    <s v="AP        PROJET    2PROJET"/>
    <s v="_"/>
    <x v="29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m/>
    <m/>
    <x v="0"/>
    <m/>
    <m/>
    <s v="-"/>
    <m/>
    <m/>
    <s v="-"/>
    <m/>
    <m/>
    <s v="-"/>
    <m/>
    <m/>
    <s v="-"/>
    <m/>
    <m/>
    <s v="-"/>
    <m/>
    <m/>
    <s v="-"/>
    <m/>
    <m/>
    <s v="-"/>
    <m/>
    <m/>
    <n v="1069.21"/>
    <n v="0"/>
    <n v="0"/>
    <n v="0"/>
    <n v="1069.21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P"/>
    <s v="ACTIVITES PEDAGO. "/>
    <x v="0"/>
    <s v="AP        PROJET"/>
    <s v="_"/>
    <x v="4"/>
    <s v="AP        PROJET    2PROJET"/>
    <s v="_"/>
    <x v="29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s v="606700"/>
    <s v="F.MAT.ENS. NON IMM."/>
    <x v="7"/>
    <m/>
    <m/>
    <s v="-"/>
    <m/>
    <m/>
    <s v="-"/>
    <m/>
    <m/>
    <s v="-"/>
    <m/>
    <m/>
    <s v="-"/>
    <m/>
    <m/>
    <s v="-"/>
    <m/>
    <m/>
    <s v="-"/>
    <m/>
    <m/>
    <s v="-"/>
    <m/>
    <m/>
    <n v="0"/>
    <n v="224.76"/>
    <n v="224.76"/>
    <n v="0"/>
    <n v="-224.76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P"/>
    <s v="ACTIVITES PEDAGO. "/>
    <x v="0"/>
    <s v="AP        PROJET"/>
    <s v="_"/>
    <x v="4"/>
    <s v="AP        PROJET    2PROJET"/>
    <s v="_"/>
    <x v="29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s v="606800"/>
    <s v="MAT.MOB.OUT.NON IMM."/>
    <x v="5"/>
    <m/>
    <m/>
    <s v="-"/>
    <m/>
    <m/>
    <s v="-"/>
    <m/>
    <m/>
    <s v="-"/>
    <m/>
    <m/>
    <s v="-"/>
    <m/>
    <m/>
    <s v="-"/>
    <m/>
    <m/>
    <s v="-"/>
    <m/>
    <m/>
    <s v="-"/>
    <m/>
    <m/>
    <n v="0"/>
    <n v="162.44999999999999"/>
    <n v="162.44999999999999"/>
    <n v="0"/>
    <n v="-162.44999999999999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P"/>
    <s v="ACTIVITES PEDAGO. "/>
    <x v="0"/>
    <s v="AP        PROJET"/>
    <s v="_"/>
    <x v="4"/>
    <s v="AP        PROJET    2PROJET"/>
    <s v="_"/>
    <x v="29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s v="621000"/>
    <s v="PERS. EXT. A L’ETAB."/>
    <x v="17"/>
    <m/>
    <m/>
    <s v="-"/>
    <m/>
    <m/>
    <s v="-"/>
    <m/>
    <m/>
    <s v="-"/>
    <m/>
    <m/>
    <s v="-"/>
    <m/>
    <m/>
    <s v="-"/>
    <m/>
    <m/>
    <s v="-"/>
    <m/>
    <m/>
    <s v="-"/>
    <m/>
    <m/>
    <n v="0"/>
    <n v="682"/>
    <n v="682"/>
    <n v="0"/>
    <n v="-682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P"/>
    <s v="ACTIVITES PEDAGO. "/>
    <x v="0"/>
    <s v="AP        PROJET"/>
    <s v="_"/>
    <x v="4"/>
    <s v="AP        PROJET    2THEATRE"/>
    <s v="_"/>
    <x v="30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m/>
    <m/>
    <x v="0"/>
    <m/>
    <m/>
    <s v="-"/>
    <m/>
    <m/>
    <s v="-"/>
    <m/>
    <m/>
    <s v="-"/>
    <m/>
    <m/>
    <s v="-"/>
    <m/>
    <m/>
    <s v="-"/>
    <m/>
    <m/>
    <s v="-"/>
    <m/>
    <m/>
    <s v="-"/>
    <m/>
    <m/>
    <n v="1310.85"/>
    <n v="0"/>
    <n v="0"/>
    <n v="0"/>
    <n v="1310.85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P"/>
    <s v="ACTIVITES PEDAGO. "/>
    <x v="0"/>
    <s v="AP        PROJET"/>
    <s v="_"/>
    <x v="4"/>
    <s v="AP        PROJET    2THEATRE"/>
    <s v="_"/>
    <x v="30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s v="613200"/>
    <s v="AUTRES LOCATIONS"/>
    <x v="16"/>
    <m/>
    <m/>
    <s v="-"/>
    <m/>
    <m/>
    <s v="-"/>
    <m/>
    <m/>
    <s v="-"/>
    <m/>
    <m/>
    <s v="-"/>
    <m/>
    <m/>
    <s v="-"/>
    <m/>
    <m/>
    <s v="-"/>
    <m/>
    <m/>
    <s v="-"/>
    <m/>
    <m/>
    <n v="0"/>
    <n v="1000"/>
    <n v="1000"/>
    <n v="0"/>
    <n v="-1000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P"/>
    <s v="ACTIVITES PEDAGO. "/>
    <x v="0"/>
    <s v="AP        PROJET"/>
    <s v="_"/>
    <x v="4"/>
    <s v="AP        PROJET    2THEATRE"/>
    <s v="_"/>
    <x v="30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s v="651600"/>
    <s v="DROITS AUTEUR REPRO."/>
    <x v="4"/>
    <m/>
    <m/>
    <s v="-"/>
    <m/>
    <m/>
    <s v="-"/>
    <m/>
    <m/>
    <s v="-"/>
    <m/>
    <m/>
    <s v="-"/>
    <m/>
    <m/>
    <s v="-"/>
    <m/>
    <m/>
    <s v="-"/>
    <m/>
    <m/>
    <s v="-"/>
    <m/>
    <m/>
    <n v="0"/>
    <n v="127.72"/>
    <n v="127.72"/>
    <n v="0"/>
    <n v="-127.72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VE"/>
    <s v="VIE DE L'ELEVE"/>
    <x v="1"/>
    <s v="VE        AEDREM"/>
    <s v="_"/>
    <x v="5"/>
    <s v="VE        AEDREM    16AED"/>
    <s v="_"/>
    <x v="31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m/>
    <m/>
    <x v="0"/>
    <m/>
    <m/>
    <s v="-"/>
    <m/>
    <m/>
    <s v="-"/>
    <m/>
    <m/>
    <s v="-"/>
    <m/>
    <m/>
    <s v="-"/>
    <m/>
    <m/>
    <s v="-"/>
    <m/>
    <m/>
    <s v="-"/>
    <m/>
    <m/>
    <s v="-"/>
    <m/>
    <m/>
    <n v="408210.72"/>
    <n v="0"/>
    <n v="0"/>
    <n v="0"/>
    <n v="408210.72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VE"/>
    <s v="VIE DE L'ELEVE"/>
    <x v="1"/>
    <s v="VE        AEDREM"/>
    <s v="_"/>
    <x v="5"/>
    <s v="VE        AEDREM    16AED"/>
    <s v="_"/>
    <x v="31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s v="644700"/>
    <s v="REMUN. ASSIST. EDUC."/>
    <x v="18"/>
    <m/>
    <m/>
    <s v="-"/>
    <m/>
    <m/>
    <s v="-"/>
    <m/>
    <m/>
    <s v="-"/>
    <m/>
    <m/>
    <s v="-"/>
    <m/>
    <m/>
    <s v="-"/>
    <m/>
    <m/>
    <s v="-"/>
    <m/>
    <m/>
    <s v="-"/>
    <m/>
    <m/>
    <n v="0"/>
    <n v="408210.72"/>
    <n v="408210.72"/>
    <n v="0"/>
    <n v="-408210.72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VE"/>
    <s v="VIE DE L'ELEVE"/>
    <x v="1"/>
    <s v="VE        BOP230"/>
    <s v="_"/>
    <x v="6"/>
    <s v="VE        BOP230    16EO-"/>
    <s v="_"/>
    <x v="32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m/>
    <m/>
    <x v="0"/>
    <m/>
    <m/>
    <s v="-"/>
    <m/>
    <m/>
    <s v="-"/>
    <m/>
    <m/>
    <s v="-"/>
    <m/>
    <m/>
    <s v="-"/>
    <m/>
    <m/>
    <s v="-"/>
    <m/>
    <m/>
    <s v="-"/>
    <m/>
    <m/>
    <s v="-"/>
    <m/>
    <m/>
    <n v="6231.7"/>
    <n v="0"/>
    <n v="0"/>
    <n v="0"/>
    <n v="6231.7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VE"/>
    <s v="VIE DE L'ELEVE"/>
    <x v="1"/>
    <s v="VE        BOP230"/>
    <s v="_"/>
    <x v="6"/>
    <s v="VE        BOP230    16EO-"/>
    <s v="_"/>
    <x v="32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s v="611100"/>
    <s v="/S-TRAIT. REST. H."/>
    <x v="8"/>
    <m/>
    <m/>
    <s v="-"/>
    <m/>
    <m/>
    <s v="-"/>
    <m/>
    <m/>
    <s v="-"/>
    <m/>
    <m/>
    <s v="-"/>
    <m/>
    <m/>
    <s v="-"/>
    <m/>
    <m/>
    <s v="-"/>
    <m/>
    <m/>
    <s v="-"/>
    <m/>
    <m/>
    <n v="0"/>
    <n v="2211"/>
    <n v="2211"/>
    <n v="0"/>
    <n v="-2211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VE"/>
    <s v="VIE DE L'ELEVE"/>
    <x v="1"/>
    <s v="VE        BOP230"/>
    <s v="_"/>
    <x v="6"/>
    <s v="VE        BOP230    16EO-"/>
    <s v="_"/>
    <x v="32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s v="621000"/>
    <s v="PERS. EXT. A L’ETAB."/>
    <x v="17"/>
    <m/>
    <m/>
    <s v="-"/>
    <m/>
    <m/>
    <s v="-"/>
    <m/>
    <m/>
    <s v="-"/>
    <m/>
    <m/>
    <s v="-"/>
    <m/>
    <m/>
    <s v="-"/>
    <m/>
    <m/>
    <s v="-"/>
    <m/>
    <m/>
    <s v="-"/>
    <m/>
    <m/>
    <n v="0"/>
    <n v="650"/>
    <n v="650"/>
    <n v="0"/>
    <n v="-650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VE"/>
    <s v="VIE DE L'ELEVE"/>
    <x v="1"/>
    <s v="VE        BOP230"/>
    <s v="_"/>
    <x v="6"/>
    <s v="VE        BOP230    16EO-"/>
    <s v="_"/>
    <x v="32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s v="624000"/>
    <s v="TRANSP.B&amp;P. H.VOY.S."/>
    <x v="1"/>
    <m/>
    <m/>
    <s v="-"/>
    <m/>
    <m/>
    <s v="-"/>
    <m/>
    <m/>
    <s v="-"/>
    <m/>
    <m/>
    <s v="-"/>
    <m/>
    <m/>
    <s v="-"/>
    <m/>
    <m/>
    <s v="-"/>
    <m/>
    <m/>
    <s v="-"/>
    <m/>
    <m/>
    <n v="0"/>
    <n v="760"/>
    <n v="760"/>
    <n v="0"/>
    <n v="-760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VE"/>
    <s v="VIE DE L'ELEVE"/>
    <x v="1"/>
    <s v="VE        BOP230"/>
    <s v="_"/>
    <x v="6"/>
    <s v="VE        BOP230    16EO-"/>
    <s v="_"/>
    <x v="32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s v="625112"/>
    <s v="VOY.DEPL.EL. SORTIES"/>
    <x v="9"/>
    <m/>
    <m/>
    <s v="-"/>
    <m/>
    <m/>
    <s v="-"/>
    <m/>
    <m/>
    <s v="-"/>
    <m/>
    <m/>
    <s v="-"/>
    <m/>
    <m/>
    <s v="-"/>
    <m/>
    <m/>
    <s v="-"/>
    <m/>
    <m/>
    <s v="-"/>
    <m/>
    <m/>
    <n v="0"/>
    <n v="2262"/>
    <n v="2262"/>
    <n v="0"/>
    <n v="-2262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VE"/>
    <s v="VIE DE L'ELEVE"/>
    <x v="1"/>
    <s v="VE        BOP230"/>
    <s v="_"/>
    <x v="6"/>
    <s v="VE        BOP230    16ESC"/>
    <s v="_"/>
    <x v="33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m/>
    <m/>
    <x v="0"/>
    <m/>
    <m/>
    <s v="-"/>
    <m/>
    <m/>
    <s v="-"/>
    <m/>
    <m/>
    <s v="-"/>
    <m/>
    <m/>
    <s v="-"/>
    <m/>
    <m/>
    <s v="-"/>
    <m/>
    <m/>
    <s v="-"/>
    <m/>
    <m/>
    <s v="-"/>
    <m/>
    <m/>
    <n v="2463.67"/>
    <n v="0"/>
    <n v="0"/>
    <n v="0"/>
    <n v="2463.67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VE"/>
    <s v="VIE DE L'ELEVE"/>
    <x v="1"/>
    <s v="VE        BOP230"/>
    <s v="_"/>
    <x v="6"/>
    <s v="VE        BOP230    16ESC"/>
    <s v="_"/>
    <x v="33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s v="606800"/>
    <s v="MAT.MOB.OUT.NON IMM."/>
    <x v="5"/>
    <m/>
    <m/>
    <s v="-"/>
    <m/>
    <m/>
    <s v="-"/>
    <m/>
    <m/>
    <s v="-"/>
    <m/>
    <m/>
    <s v="-"/>
    <m/>
    <m/>
    <s v="-"/>
    <m/>
    <m/>
    <s v="-"/>
    <m/>
    <m/>
    <s v="-"/>
    <m/>
    <m/>
    <n v="0"/>
    <n v="654.83000000000004"/>
    <n v="654.83000000000004"/>
    <n v="0"/>
    <n v="-654.83000000000004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VE"/>
    <s v="VIE DE L'ELEVE"/>
    <x v="1"/>
    <s v="VE        BOP230"/>
    <s v="_"/>
    <x v="6"/>
    <s v="VE        BOP230    16ESC"/>
    <s v="_"/>
    <x v="33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s v="624000"/>
    <s v="TRANSP.B&amp;P. H.VOY.S."/>
    <x v="1"/>
    <m/>
    <m/>
    <s v="-"/>
    <m/>
    <m/>
    <s v="-"/>
    <m/>
    <m/>
    <s v="-"/>
    <m/>
    <m/>
    <s v="-"/>
    <m/>
    <m/>
    <s v="-"/>
    <m/>
    <m/>
    <s v="-"/>
    <m/>
    <m/>
    <s v="-"/>
    <m/>
    <m/>
    <n v="0"/>
    <n v="281.8"/>
    <n v="281.8"/>
    <n v="0"/>
    <n v="-281.8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VE"/>
    <s v="VIE DE L'ELEVE"/>
    <x v="1"/>
    <s v="VE        BOP230"/>
    <s v="_"/>
    <x v="6"/>
    <s v="VE        BOP230    16ESC"/>
    <s v="_"/>
    <x v="33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s v="625112"/>
    <s v="VOY.DEPL.EL. SORTIES"/>
    <x v="9"/>
    <m/>
    <m/>
    <s v="-"/>
    <m/>
    <m/>
    <s v="-"/>
    <m/>
    <m/>
    <s v="-"/>
    <m/>
    <m/>
    <s v="-"/>
    <m/>
    <m/>
    <s v="-"/>
    <m/>
    <m/>
    <s v="-"/>
    <m/>
    <m/>
    <s v="-"/>
    <m/>
    <m/>
    <n v="0"/>
    <n v="1300"/>
    <n v="1300"/>
    <n v="0"/>
    <n v="-1300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VE"/>
    <s v="VIE DE L'ELEVE"/>
    <x v="1"/>
    <s v="VE        BOP230"/>
    <s v="_"/>
    <x v="6"/>
    <s v="VE        BOP230    16ESC"/>
    <s v="_"/>
    <x v="33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s v="625700"/>
    <s v="FRAIS RECEP.(P.EXT.)"/>
    <x v="19"/>
    <m/>
    <m/>
    <s v="-"/>
    <m/>
    <m/>
    <s v="-"/>
    <m/>
    <m/>
    <s v="-"/>
    <m/>
    <m/>
    <s v="-"/>
    <m/>
    <m/>
    <s v="-"/>
    <m/>
    <m/>
    <s v="-"/>
    <m/>
    <m/>
    <s v="-"/>
    <m/>
    <m/>
    <n v="0"/>
    <n v="94.7"/>
    <n v="94.7"/>
    <n v="0"/>
    <n v="-94.7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VE"/>
    <s v="VIE DE L'ELEVE"/>
    <x v="1"/>
    <s v="VE        BOP230"/>
    <s v="_"/>
    <x v="6"/>
    <s v="VE        BOP230    16FS-"/>
    <s v="_"/>
    <x v="34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m/>
    <m/>
    <x v="0"/>
    <m/>
    <m/>
    <s v="-"/>
    <m/>
    <m/>
    <s v="-"/>
    <m/>
    <m/>
    <s v="-"/>
    <m/>
    <m/>
    <s v="-"/>
    <m/>
    <m/>
    <s v="-"/>
    <m/>
    <m/>
    <s v="-"/>
    <m/>
    <m/>
    <s v="-"/>
    <m/>
    <m/>
    <n v="3000"/>
    <n v="0"/>
    <n v="0"/>
    <n v="0"/>
    <n v="3000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VE"/>
    <s v="VIE DE L'ELEVE"/>
    <x v="1"/>
    <s v="VE        BOP230"/>
    <s v="_"/>
    <x v="6"/>
    <s v="VE        BOP230    16FS-"/>
    <s v="_"/>
    <x v="34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s v="606700"/>
    <s v="F.MAT.ENS. NON IMM."/>
    <x v="7"/>
    <m/>
    <m/>
    <s v="-"/>
    <m/>
    <m/>
    <s v="-"/>
    <m/>
    <m/>
    <s v="-"/>
    <m/>
    <m/>
    <s v="-"/>
    <m/>
    <m/>
    <s v="-"/>
    <m/>
    <m/>
    <s v="-"/>
    <m/>
    <m/>
    <s v="-"/>
    <m/>
    <m/>
    <n v="0"/>
    <n v="575.79"/>
    <n v="575.79"/>
    <n v="0"/>
    <n v="-575.79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VE"/>
    <s v="VIE DE L'ELEVE"/>
    <x v="1"/>
    <s v="VE        BOP230"/>
    <s v="_"/>
    <x v="6"/>
    <s v="VE        BOP230    16FS-"/>
    <s v="_"/>
    <x v="34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s v="624000"/>
    <s v="TRANSP.B&amp;P. H.VOY.S."/>
    <x v="1"/>
    <m/>
    <m/>
    <s v="-"/>
    <m/>
    <m/>
    <s v="-"/>
    <m/>
    <m/>
    <s v="-"/>
    <m/>
    <m/>
    <s v="-"/>
    <m/>
    <m/>
    <s v="-"/>
    <m/>
    <m/>
    <s v="-"/>
    <m/>
    <m/>
    <s v="-"/>
    <m/>
    <m/>
    <n v="0"/>
    <n v="60"/>
    <n v="60"/>
    <n v="0"/>
    <n v="-60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VE"/>
    <s v="VIE DE L'ELEVE"/>
    <x v="1"/>
    <s v="VE        BOP230"/>
    <s v="_"/>
    <x v="6"/>
    <s v="VE        BOP230    16FS-"/>
    <s v="_"/>
    <x v="34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s v="657610"/>
    <s v="AIDE SOCIALE EL.ETAT"/>
    <x v="20"/>
    <m/>
    <m/>
    <s v="-"/>
    <m/>
    <m/>
    <s v="-"/>
    <m/>
    <m/>
    <s v="-"/>
    <m/>
    <m/>
    <s v="-"/>
    <m/>
    <m/>
    <s v="-"/>
    <m/>
    <m/>
    <s v="-"/>
    <m/>
    <m/>
    <s v="-"/>
    <m/>
    <m/>
    <n v="0"/>
    <n v="914.96"/>
    <n v="914.96"/>
    <n v="0"/>
    <n v="-914.96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VE"/>
    <s v="VIE DE L'ELEVE"/>
    <x v="1"/>
    <s v="VE        BOP230"/>
    <s v="_"/>
    <x v="6"/>
    <s v="VE        BOP230    16FSC"/>
    <s v="_"/>
    <x v="35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m/>
    <m/>
    <x v="0"/>
    <m/>
    <m/>
    <s v="-"/>
    <m/>
    <m/>
    <s v="-"/>
    <m/>
    <m/>
    <s v="-"/>
    <m/>
    <m/>
    <s v="-"/>
    <m/>
    <m/>
    <s v="-"/>
    <m/>
    <m/>
    <s v="-"/>
    <m/>
    <m/>
    <s v="-"/>
    <m/>
    <m/>
    <n v="8838.0499999999993"/>
    <n v="0"/>
    <n v="0"/>
    <n v="0"/>
    <n v="8838.0499999999993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VE"/>
    <s v="VIE DE L'ELEVE"/>
    <x v="1"/>
    <s v="VE        BOP230"/>
    <s v="_"/>
    <x v="6"/>
    <s v="VE        BOP230    16FSC"/>
    <s v="_"/>
    <x v="35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s v="657610"/>
    <s v="AIDE SOCIALE EL.ETAT"/>
    <x v="20"/>
    <m/>
    <m/>
    <s v="-"/>
    <m/>
    <m/>
    <s v="-"/>
    <m/>
    <m/>
    <s v="-"/>
    <m/>
    <m/>
    <s v="-"/>
    <m/>
    <m/>
    <s v="-"/>
    <m/>
    <m/>
    <s v="-"/>
    <m/>
    <m/>
    <s v="-"/>
    <m/>
    <m/>
    <n v="0"/>
    <n v="5610.89"/>
    <n v="5610.89"/>
    <n v="0"/>
    <n v="-5610.89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LO"/>
    <s v="ADMIN ET LOGISTIQUE"/>
    <x v="2"/>
    <s v="ALO       ADMIN"/>
    <s v="_"/>
    <x v="7"/>
    <s v="ALO       ADMIN     0DIVERS"/>
    <s v="_"/>
    <x v="36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m/>
    <m/>
    <x v="0"/>
    <m/>
    <m/>
    <s v="-"/>
    <m/>
    <m/>
    <s v="-"/>
    <m/>
    <m/>
    <s v="-"/>
    <m/>
    <m/>
    <s v="-"/>
    <m/>
    <m/>
    <s v="-"/>
    <m/>
    <m/>
    <s v="-"/>
    <m/>
    <m/>
    <s v="-"/>
    <m/>
    <m/>
    <n v="1000"/>
    <n v="0"/>
    <n v="0"/>
    <n v="0"/>
    <n v="1000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LO"/>
    <s v="ADMIN ET LOGISTIQUE"/>
    <x v="2"/>
    <s v="ALO       ADMIN"/>
    <s v="_"/>
    <x v="7"/>
    <s v="ALO       ADMIN     0EQUIP"/>
    <s v="_"/>
    <x v="37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m/>
    <m/>
    <x v="0"/>
    <m/>
    <m/>
    <s v="-"/>
    <m/>
    <m/>
    <s v="-"/>
    <m/>
    <m/>
    <s v="-"/>
    <m/>
    <m/>
    <s v="-"/>
    <m/>
    <m/>
    <s v="-"/>
    <m/>
    <m/>
    <s v="-"/>
    <m/>
    <m/>
    <s v="-"/>
    <m/>
    <m/>
    <n v="13793.51"/>
    <n v="0"/>
    <n v="0"/>
    <n v="0"/>
    <n v="13793.51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LO"/>
    <s v="ADMIN ET LOGISTIQUE"/>
    <x v="2"/>
    <s v="ALO       ADMIN"/>
    <s v="_"/>
    <x v="7"/>
    <s v="ALO       ADMIN     0EQUIP"/>
    <s v="_"/>
    <x v="37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s v="606800"/>
    <s v="MAT.MOB.OUT.NON IMM."/>
    <x v="5"/>
    <m/>
    <m/>
    <s v="-"/>
    <m/>
    <m/>
    <s v="-"/>
    <m/>
    <m/>
    <s v="-"/>
    <m/>
    <m/>
    <s v="-"/>
    <m/>
    <m/>
    <s v="-"/>
    <m/>
    <m/>
    <s v="-"/>
    <m/>
    <m/>
    <s v="-"/>
    <m/>
    <m/>
    <n v="0"/>
    <n v="13377.01"/>
    <n v="13377.01"/>
    <n v="0"/>
    <n v="-13377.01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LO"/>
    <s v="ADMIN ET LOGISTIQUE"/>
    <x v="2"/>
    <s v="ALO       ADMIN"/>
    <s v="_"/>
    <x v="7"/>
    <s v="ALO       ADMIN     2AFFRAN"/>
    <s v="_"/>
    <x v="38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m/>
    <m/>
    <x v="0"/>
    <m/>
    <m/>
    <s v="-"/>
    <m/>
    <m/>
    <s v="-"/>
    <m/>
    <m/>
    <s v="-"/>
    <m/>
    <m/>
    <s v="-"/>
    <m/>
    <m/>
    <s v="-"/>
    <m/>
    <m/>
    <s v="-"/>
    <m/>
    <m/>
    <s v="-"/>
    <m/>
    <m/>
    <n v="2500"/>
    <n v="0"/>
    <n v="0"/>
    <n v="0"/>
    <n v="2500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LO"/>
    <s v="ADMIN ET LOGISTIQUE"/>
    <x v="2"/>
    <s v="ALO       ADMIN"/>
    <s v="_"/>
    <x v="7"/>
    <s v="ALO       ADMIN     2AFFRAN"/>
    <s v="_"/>
    <x v="38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s v="626000"/>
    <s v="FRAIS POST.TELECOM."/>
    <x v="21"/>
    <m/>
    <m/>
    <s v="-"/>
    <m/>
    <m/>
    <s v="-"/>
    <m/>
    <m/>
    <s v="-"/>
    <m/>
    <m/>
    <s v="-"/>
    <m/>
    <m/>
    <s v="-"/>
    <m/>
    <m/>
    <s v="-"/>
    <m/>
    <m/>
    <s v="-"/>
    <m/>
    <m/>
    <n v="0"/>
    <n v="1027.5899999999999"/>
    <n v="1027.5899999999999"/>
    <n v="0"/>
    <n v="-1027.5899999999999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LO"/>
    <s v="ADMIN ET LOGISTIQUE"/>
    <x v="2"/>
    <s v="ALO       ADMIN"/>
    <s v="_"/>
    <x v="7"/>
    <s v="ALO       ADMIN     2ASSUR"/>
    <s v="_"/>
    <x v="39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m/>
    <m/>
    <x v="0"/>
    <m/>
    <m/>
    <s v="-"/>
    <m/>
    <m/>
    <s v="-"/>
    <m/>
    <m/>
    <s v="-"/>
    <m/>
    <m/>
    <s v="-"/>
    <m/>
    <m/>
    <s v="-"/>
    <m/>
    <m/>
    <s v="-"/>
    <m/>
    <m/>
    <s v="-"/>
    <m/>
    <m/>
    <n v="2000"/>
    <n v="0"/>
    <n v="0"/>
    <n v="0"/>
    <n v="2000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LO"/>
    <s v="ADMIN ET LOGISTIQUE"/>
    <x v="2"/>
    <s v="ALO       ADMIN"/>
    <s v="_"/>
    <x v="7"/>
    <s v="ALO       ADMIN     2ASSUR"/>
    <s v="_"/>
    <x v="39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s v="616000"/>
    <s v="PRIMES D’ASSURANCE"/>
    <x v="22"/>
    <m/>
    <m/>
    <s v="-"/>
    <m/>
    <m/>
    <s v="-"/>
    <m/>
    <m/>
    <s v="-"/>
    <m/>
    <m/>
    <s v="-"/>
    <m/>
    <m/>
    <s v="-"/>
    <m/>
    <m/>
    <s v="-"/>
    <m/>
    <m/>
    <s v="-"/>
    <m/>
    <m/>
    <n v="0"/>
    <n v="1972.6"/>
    <n v="1972.6"/>
    <n v="0"/>
    <n v="-1972.6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LO"/>
    <s v="ADMIN ET LOGISTIQUE"/>
    <x v="2"/>
    <s v="ALO       ADMIN"/>
    <s v="_"/>
    <x v="7"/>
    <s v="ALO       ADMIN     2COMM"/>
    <s v="_"/>
    <x v="40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m/>
    <m/>
    <x v="0"/>
    <m/>
    <m/>
    <s v="-"/>
    <m/>
    <m/>
    <s v="-"/>
    <m/>
    <m/>
    <s v="-"/>
    <m/>
    <m/>
    <s v="-"/>
    <m/>
    <m/>
    <s v="-"/>
    <m/>
    <m/>
    <s v="-"/>
    <m/>
    <m/>
    <s v="-"/>
    <m/>
    <m/>
    <n v="23000"/>
    <n v="0"/>
    <n v="0"/>
    <n v="0"/>
    <n v="23000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LO"/>
    <s v="ADMIN ET LOGISTIQUE"/>
    <x v="2"/>
    <s v="ALO       ADMIN"/>
    <s v="_"/>
    <x v="7"/>
    <s v="ALO       ADMIN     2COMM"/>
    <s v="_"/>
    <x v="40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s v="626000"/>
    <s v="FRAIS POST.TELECOM."/>
    <x v="21"/>
    <m/>
    <m/>
    <s v="-"/>
    <m/>
    <m/>
    <s v="-"/>
    <m/>
    <m/>
    <s v="-"/>
    <m/>
    <m/>
    <s v="-"/>
    <m/>
    <m/>
    <s v="-"/>
    <m/>
    <m/>
    <s v="-"/>
    <m/>
    <m/>
    <s v="-"/>
    <m/>
    <m/>
    <n v="0"/>
    <n v="16628.740000000002"/>
    <n v="16628.740000000002"/>
    <n v="0"/>
    <n v="-16628.740000000002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LO"/>
    <s v="ADMIN ET LOGISTIQUE"/>
    <x v="2"/>
    <s v="ALO       ADMIN"/>
    <s v="_"/>
    <x v="7"/>
    <s v="ALO       ADMIN     2DIVERS"/>
    <s v="_"/>
    <x v="41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m/>
    <m/>
    <x v="0"/>
    <m/>
    <m/>
    <s v="-"/>
    <m/>
    <m/>
    <s v="-"/>
    <m/>
    <m/>
    <s v="-"/>
    <m/>
    <m/>
    <s v="-"/>
    <m/>
    <m/>
    <s v="-"/>
    <m/>
    <m/>
    <s v="-"/>
    <m/>
    <m/>
    <s v="-"/>
    <m/>
    <m/>
    <n v="698"/>
    <n v="0"/>
    <n v="0"/>
    <n v="0"/>
    <n v="698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LO"/>
    <s v="ADMIN ET LOGISTIQUE"/>
    <x v="2"/>
    <s v="ALO       ADMIN"/>
    <s v="_"/>
    <x v="7"/>
    <s v="ALO       ADMIN     2DIVERS"/>
    <s v="_"/>
    <x v="41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s v="628800"/>
    <s v="AUTRES CH. EXT. DIV."/>
    <x v="23"/>
    <m/>
    <m/>
    <s v="-"/>
    <m/>
    <m/>
    <s v="-"/>
    <m/>
    <m/>
    <s v="-"/>
    <m/>
    <m/>
    <s v="-"/>
    <m/>
    <m/>
    <s v="-"/>
    <m/>
    <m/>
    <s v="-"/>
    <m/>
    <m/>
    <s v="-"/>
    <m/>
    <m/>
    <n v="0"/>
    <n v="8"/>
    <n v="8"/>
    <n v="0"/>
    <n v="-8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LO"/>
    <s v="ADMIN ET LOGISTIQUE"/>
    <x v="2"/>
    <s v="ALO       ADMIN"/>
    <s v="_"/>
    <x v="7"/>
    <s v="ALO       ADMIN     2DOCADM"/>
    <s v="_"/>
    <x v="42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m/>
    <m/>
    <x v="0"/>
    <m/>
    <m/>
    <s v="-"/>
    <m/>
    <m/>
    <s v="-"/>
    <m/>
    <m/>
    <s v="-"/>
    <m/>
    <m/>
    <s v="-"/>
    <m/>
    <m/>
    <s v="-"/>
    <m/>
    <m/>
    <s v="-"/>
    <m/>
    <m/>
    <s v="-"/>
    <m/>
    <m/>
    <n v="711.45"/>
    <n v="0"/>
    <n v="0"/>
    <n v="0"/>
    <n v="711.45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LO"/>
    <s v="ADMIN ET LOGISTIQUE"/>
    <x v="2"/>
    <s v="ALO       ADMIN"/>
    <s v="_"/>
    <x v="7"/>
    <s v="ALO       ADMIN     2DOCADM"/>
    <s v="_"/>
    <x v="42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s v="618130"/>
    <s v="OUVR. NUMERIQ. ADM."/>
    <x v="24"/>
    <m/>
    <m/>
    <s v="-"/>
    <m/>
    <m/>
    <s v="-"/>
    <m/>
    <m/>
    <s v="-"/>
    <m/>
    <m/>
    <s v="-"/>
    <m/>
    <m/>
    <s v="-"/>
    <m/>
    <m/>
    <s v="-"/>
    <m/>
    <m/>
    <s v="-"/>
    <m/>
    <m/>
    <n v="0"/>
    <n v="711.45"/>
    <n v="711.45"/>
    <n v="0"/>
    <n v="-711.45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LO"/>
    <s v="ADMIN ET LOGISTIQUE"/>
    <x v="2"/>
    <s v="ALO       ADMIN"/>
    <s v="_"/>
    <x v="7"/>
    <s v="ALO       ADMIN     2FIBREOPT"/>
    <s v="_"/>
    <x v="43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m/>
    <m/>
    <x v="0"/>
    <m/>
    <m/>
    <s v="-"/>
    <m/>
    <m/>
    <s v="-"/>
    <m/>
    <m/>
    <s v="-"/>
    <m/>
    <m/>
    <s v="-"/>
    <m/>
    <m/>
    <s v="-"/>
    <m/>
    <m/>
    <s v="-"/>
    <m/>
    <m/>
    <s v="-"/>
    <m/>
    <m/>
    <n v="7551.6"/>
    <n v="0"/>
    <n v="0"/>
    <n v="0"/>
    <n v="7551.6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LO"/>
    <s v="ADMIN ET LOGISTIQUE"/>
    <x v="2"/>
    <s v="ALO       ADMIN"/>
    <s v="_"/>
    <x v="7"/>
    <s v="ALO       ADMIN     2FIBREOPT"/>
    <s v="_"/>
    <x v="43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s v="626000"/>
    <s v="FRAIS POST.TELECOM."/>
    <x v="21"/>
    <m/>
    <m/>
    <s v="-"/>
    <m/>
    <m/>
    <s v="-"/>
    <m/>
    <m/>
    <s v="-"/>
    <m/>
    <m/>
    <s v="-"/>
    <m/>
    <m/>
    <s v="-"/>
    <m/>
    <m/>
    <s v="-"/>
    <m/>
    <m/>
    <s v="-"/>
    <m/>
    <m/>
    <n v="0"/>
    <n v="629.29999999999995"/>
    <n v="629.29999999999995"/>
    <n v="0"/>
    <n v="-629.29999999999995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LO"/>
    <s v="ADMIN ET LOGISTIQUE"/>
    <x v="2"/>
    <s v="ALO       ADMIN"/>
    <s v="_"/>
    <x v="7"/>
    <s v="ALO       ADMIN     2FORMATIO"/>
    <s v="_"/>
    <x v="44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m/>
    <m/>
    <x v="0"/>
    <m/>
    <m/>
    <s v="-"/>
    <m/>
    <m/>
    <s v="-"/>
    <m/>
    <m/>
    <s v="-"/>
    <m/>
    <m/>
    <s v="-"/>
    <m/>
    <m/>
    <s v="-"/>
    <m/>
    <m/>
    <s v="-"/>
    <m/>
    <m/>
    <s v="-"/>
    <m/>
    <m/>
    <n v="1000"/>
    <n v="0"/>
    <n v="0"/>
    <n v="0"/>
    <n v="1000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LO"/>
    <s v="ADMIN ET LOGISTIQUE"/>
    <x v="2"/>
    <s v="ALO       ADMIN"/>
    <s v="_"/>
    <x v="7"/>
    <s v="ALO       ADMIN     2FORMATIO"/>
    <s v="_"/>
    <x v="44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s v="628200"/>
    <s v="FORMATION DES PERS."/>
    <x v="25"/>
    <m/>
    <m/>
    <s v="-"/>
    <m/>
    <m/>
    <s v="-"/>
    <m/>
    <m/>
    <s v="-"/>
    <m/>
    <m/>
    <s v="-"/>
    <m/>
    <m/>
    <s v="-"/>
    <m/>
    <m/>
    <s v="-"/>
    <m/>
    <m/>
    <s v="-"/>
    <m/>
    <m/>
    <n v="0"/>
    <n v="100"/>
    <n v="100"/>
    <n v="0"/>
    <n v="-100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LO"/>
    <s v="ADMIN ET LOGISTIQUE"/>
    <x v="2"/>
    <s v="ALO       ADMIN"/>
    <s v="_"/>
    <x v="7"/>
    <s v="ALO       ADMIN     2FOURADM"/>
    <s v="_"/>
    <x v="45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m/>
    <m/>
    <x v="0"/>
    <m/>
    <m/>
    <s v="-"/>
    <m/>
    <m/>
    <s v="-"/>
    <m/>
    <m/>
    <s v="-"/>
    <m/>
    <m/>
    <s v="-"/>
    <m/>
    <m/>
    <s v="-"/>
    <m/>
    <m/>
    <s v="-"/>
    <m/>
    <m/>
    <s v="-"/>
    <m/>
    <m/>
    <n v="8000"/>
    <n v="0"/>
    <n v="0"/>
    <n v="0"/>
    <n v="8000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LO"/>
    <s v="ADMIN ET LOGISTIQUE"/>
    <x v="2"/>
    <s v="ALO       ADMIN"/>
    <s v="_"/>
    <x v="7"/>
    <s v="ALO       ADMIN     2FOURADM"/>
    <s v="_"/>
    <x v="45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s v="606400"/>
    <s v="FOURN.ADMINISTRATIVE"/>
    <x v="2"/>
    <m/>
    <m/>
    <s v="-"/>
    <m/>
    <m/>
    <s v="-"/>
    <m/>
    <m/>
    <s v="-"/>
    <m/>
    <m/>
    <s v="-"/>
    <m/>
    <m/>
    <s v="-"/>
    <m/>
    <m/>
    <s v="-"/>
    <m/>
    <m/>
    <s v="-"/>
    <m/>
    <m/>
    <n v="0"/>
    <n v="5365.47"/>
    <n v="5365.47"/>
    <n v="0"/>
    <n v="-5365.47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LO"/>
    <s v="ADMIN ET LOGISTIQUE"/>
    <x v="2"/>
    <s v="ALO       ADMIN"/>
    <s v="_"/>
    <x v="7"/>
    <s v="ALO       ADMIN     2FOURADM"/>
    <s v="_"/>
    <x v="45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s v="606800"/>
    <s v="MAT.MOB.OUT.NON IMM."/>
    <x v="5"/>
    <m/>
    <m/>
    <s v="-"/>
    <m/>
    <m/>
    <s v="-"/>
    <m/>
    <m/>
    <s v="-"/>
    <m/>
    <m/>
    <s v="-"/>
    <m/>
    <m/>
    <s v="-"/>
    <m/>
    <m/>
    <s v="-"/>
    <m/>
    <m/>
    <s v="-"/>
    <m/>
    <m/>
    <n v="0"/>
    <n v="1339.68"/>
    <n v="1339.68"/>
    <n v="0"/>
    <n v="-1339.68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LO"/>
    <s v="ADMIN ET LOGISTIQUE"/>
    <x v="2"/>
    <s v="ALO       ADMIN"/>
    <s v="_"/>
    <x v="7"/>
    <s v="ALO       ADMIN     2INFIRMER"/>
    <s v="_"/>
    <x v="46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m/>
    <m/>
    <x v="0"/>
    <m/>
    <m/>
    <s v="-"/>
    <m/>
    <m/>
    <s v="-"/>
    <m/>
    <m/>
    <s v="-"/>
    <m/>
    <m/>
    <s v="-"/>
    <m/>
    <m/>
    <s v="-"/>
    <m/>
    <m/>
    <s v="-"/>
    <m/>
    <m/>
    <s v="-"/>
    <m/>
    <m/>
    <n v="1000"/>
    <n v="0"/>
    <n v="0"/>
    <n v="0"/>
    <n v="1000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LO"/>
    <s v="ADMIN ET LOGISTIQUE"/>
    <x v="2"/>
    <s v="ALO       ADMIN"/>
    <s v="_"/>
    <x v="7"/>
    <s v="ALO       ADMIN     2INFIRMER"/>
    <s v="_"/>
    <x v="46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s v="606600"/>
    <s v="INFIRM&amp;PROD. PHARMA"/>
    <x v="26"/>
    <m/>
    <m/>
    <s v="-"/>
    <m/>
    <m/>
    <s v="-"/>
    <m/>
    <m/>
    <s v="-"/>
    <m/>
    <m/>
    <s v="-"/>
    <m/>
    <m/>
    <s v="-"/>
    <m/>
    <m/>
    <s v="-"/>
    <m/>
    <m/>
    <s v="-"/>
    <m/>
    <m/>
    <n v="0"/>
    <n v="825.21"/>
    <n v="825.21"/>
    <n v="0"/>
    <n v="-825.21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LO"/>
    <s v="ADMIN ET LOGISTIQUE"/>
    <x v="2"/>
    <s v="ALO       ADMIN"/>
    <s v="_"/>
    <x v="7"/>
    <s v="ALO       ADMIN     2INFORMAT"/>
    <s v="_"/>
    <x v="47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m/>
    <m/>
    <x v="0"/>
    <m/>
    <m/>
    <s v="-"/>
    <m/>
    <m/>
    <s v="-"/>
    <m/>
    <m/>
    <s v="-"/>
    <m/>
    <m/>
    <s v="-"/>
    <m/>
    <m/>
    <s v="-"/>
    <m/>
    <m/>
    <s v="-"/>
    <m/>
    <m/>
    <s v="-"/>
    <m/>
    <m/>
    <n v="1000"/>
    <n v="0"/>
    <n v="0"/>
    <n v="0"/>
    <n v="1000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LO"/>
    <s v="ADMIN ET LOGISTIQUE"/>
    <x v="2"/>
    <s v="ALO       ADMIN"/>
    <s v="_"/>
    <x v="7"/>
    <s v="ALO       ADMIN     2INFORMAT"/>
    <s v="_"/>
    <x v="47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s v="628200"/>
    <s v="FORMATION DES PERS."/>
    <x v="25"/>
    <m/>
    <m/>
    <s v="-"/>
    <m/>
    <m/>
    <s v="-"/>
    <m/>
    <m/>
    <s v="-"/>
    <m/>
    <m/>
    <s v="-"/>
    <m/>
    <m/>
    <s v="-"/>
    <m/>
    <m/>
    <s v="-"/>
    <m/>
    <m/>
    <s v="-"/>
    <m/>
    <m/>
    <n v="0"/>
    <n v="800"/>
    <n v="800"/>
    <n v="0"/>
    <n v="-800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LO"/>
    <s v="ADMIN ET LOGISTIQUE"/>
    <x v="2"/>
    <s v="ALO       ADMIN"/>
    <s v="_"/>
    <x v="7"/>
    <s v="ALO       ADMIN     2LOGICIEL"/>
    <s v="_"/>
    <x v="48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m/>
    <m/>
    <x v="0"/>
    <m/>
    <m/>
    <s v="-"/>
    <m/>
    <m/>
    <s v="-"/>
    <m/>
    <m/>
    <s v="-"/>
    <m/>
    <m/>
    <s v="-"/>
    <m/>
    <m/>
    <s v="-"/>
    <m/>
    <m/>
    <s v="-"/>
    <m/>
    <m/>
    <s v="-"/>
    <m/>
    <m/>
    <n v="600"/>
    <n v="0"/>
    <n v="0"/>
    <n v="0"/>
    <n v="600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LO"/>
    <s v="ADMIN ET LOGISTIQUE"/>
    <x v="2"/>
    <s v="ALO       ADMIN"/>
    <s v="_"/>
    <x v="7"/>
    <s v="ALO       ADMIN     2LOGICIEL"/>
    <s v="_"/>
    <x v="48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s v="606800"/>
    <s v="MAT.MOB.OUT.NON IMM."/>
    <x v="5"/>
    <m/>
    <m/>
    <s v="-"/>
    <m/>
    <m/>
    <s v="-"/>
    <m/>
    <m/>
    <s v="-"/>
    <m/>
    <m/>
    <s v="-"/>
    <m/>
    <m/>
    <s v="-"/>
    <m/>
    <m/>
    <s v="-"/>
    <m/>
    <m/>
    <s v="-"/>
    <m/>
    <m/>
    <n v="0"/>
    <n v="1367.1"/>
    <n v="1367.1"/>
    <n v="0"/>
    <n v="-1367.1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LO"/>
    <s v="ADMIN ET LOGISTIQUE"/>
    <x v="2"/>
    <s v="ALO       ADMIN"/>
    <s v="_"/>
    <x v="7"/>
    <s v="ALO       ADMIN     2LOGICIEL"/>
    <s v="_"/>
    <x v="48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s v="651100"/>
    <s v="REDEV.CONCESS.BREV."/>
    <x v="6"/>
    <m/>
    <m/>
    <s v="-"/>
    <m/>
    <m/>
    <s v="-"/>
    <m/>
    <m/>
    <s v="-"/>
    <m/>
    <m/>
    <s v="-"/>
    <m/>
    <m/>
    <s v="-"/>
    <m/>
    <m/>
    <s v="-"/>
    <m/>
    <m/>
    <s v="-"/>
    <m/>
    <m/>
    <n v="0"/>
    <n v="108.6"/>
    <n v="108.6"/>
    <n v="0"/>
    <n v="-108.6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LO"/>
    <s v="ADMIN ET LOGISTIQUE"/>
    <x v="2"/>
    <s v="ALO       ADMIN"/>
    <s v="_"/>
    <x v="7"/>
    <s v="ALO       ADMIN     2MUTUALIS"/>
    <s v="_"/>
    <x v="49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m/>
    <m/>
    <x v="0"/>
    <m/>
    <m/>
    <s v="-"/>
    <m/>
    <m/>
    <s v="-"/>
    <m/>
    <m/>
    <s v="-"/>
    <m/>
    <m/>
    <s v="-"/>
    <m/>
    <m/>
    <s v="-"/>
    <m/>
    <m/>
    <s v="-"/>
    <m/>
    <m/>
    <s v="-"/>
    <m/>
    <m/>
    <n v="800"/>
    <n v="0"/>
    <n v="0"/>
    <n v="0"/>
    <n v="800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LO"/>
    <s v="ADMIN ET LOGISTIQUE"/>
    <x v="2"/>
    <s v="ALO       ADMIN"/>
    <s v="_"/>
    <x v="7"/>
    <s v="ALO       ADMIN     2MUTUALIS"/>
    <s v="_"/>
    <x v="49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s v="628700"/>
    <s v="FACTUR. SERV.MUT."/>
    <x v="27"/>
    <m/>
    <m/>
    <s v="-"/>
    <m/>
    <m/>
    <s v="-"/>
    <m/>
    <m/>
    <s v="-"/>
    <m/>
    <m/>
    <s v="-"/>
    <m/>
    <m/>
    <s v="-"/>
    <m/>
    <m/>
    <s v="-"/>
    <m/>
    <m/>
    <s v="-"/>
    <m/>
    <m/>
    <n v="0"/>
    <n v="748"/>
    <n v="748"/>
    <n v="0"/>
    <n v="-748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LO"/>
    <s v="ADMIN ET LOGISTIQUE"/>
    <x v="2"/>
    <s v="ALO       ADMIN"/>
    <s v="_"/>
    <x v="7"/>
    <s v="ALO       ADMIN     2PUB"/>
    <s v="_"/>
    <x v="50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m/>
    <m/>
    <x v="0"/>
    <m/>
    <m/>
    <s v="-"/>
    <m/>
    <m/>
    <s v="-"/>
    <m/>
    <m/>
    <s v="-"/>
    <m/>
    <m/>
    <s v="-"/>
    <m/>
    <m/>
    <s v="-"/>
    <m/>
    <m/>
    <s v="-"/>
    <m/>
    <m/>
    <s v="-"/>
    <m/>
    <m/>
    <n v="50"/>
    <n v="0"/>
    <n v="0"/>
    <n v="0"/>
    <n v="50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LO"/>
    <s v="ADMIN ET LOGISTIQUE"/>
    <x v="2"/>
    <s v="ALO       ADMIN"/>
    <s v="_"/>
    <x v="7"/>
    <s v="ALO       ADMIN     2RECEPT"/>
    <s v="_"/>
    <x v="51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m/>
    <m/>
    <x v="0"/>
    <m/>
    <m/>
    <s v="-"/>
    <m/>
    <m/>
    <s v="-"/>
    <m/>
    <m/>
    <s v="-"/>
    <m/>
    <m/>
    <s v="-"/>
    <m/>
    <m/>
    <s v="-"/>
    <m/>
    <m/>
    <s v="-"/>
    <m/>
    <m/>
    <s v="-"/>
    <m/>
    <m/>
    <n v="4500"/>
    <n v="0"/>
    <n v="0"/>
    <n v="0"/>
    <n v="4500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LO"/>
    <s v="ADMIN ET LOGISTIQUE"/>
    <x v="2"/>
    <s v="ALO       ADMIN"/>
    <s v="_"/>
    <x v="7"/>
    <s v="ALO       ADMIN     2RECEPT"/>
    <s v="_"/>
    <x v="51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s v="601100"/>
    <s v="ACHATS DE DENREES"/>
    <x v="14"/>
    <m/>
    <m/>
    <s v="-"/>
    <m/>
    <m/>
    <s v="-"/>
    <m/>
    <m/>
    <s v="-"/>
    <m/>
    <m/>
    <s v="-"/>
    <m/>
    <m/>
    <s v="-"/>
    <m/>
    <m/>
    <s v="-"/>
    <m/>
    <m/>
    <s v="-"/>
    <m/>
    <m/>
    <n v="0"/>
    <n v="232.54"/>
    <n v="232.54"/>
    <n v="0"/>
    <n v="-232.54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LO"/>
    <s v="ADMIN ET LOGISTIQUE"/>
    <x v="2"/>
    <s v="ALO       ADMIN"/>
    <s v="_"/>
    <x v="7"/>
    <s v="ALO       ADMIN     2RECEPT"/>
    <s v="_"/>
    <x v="51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s v="625700"/>
    <s v="FRAIS RECEP.(P.EXT.)"/>
    <x v="19"/>
    <m/>
    <m/>
    <s v="-"/>
    <m/>
    <m/>
    <s v="-"/>
    <m/>
    <m/>
    <s v="-"/>
    <m/>
    <m/>
    <s v="-"/>
    <m/>
    <m/>
    <s v="-"/>
    <m/>
    <m/>
    <s v="-"/>
    <m/>
    <m/>
    <s v="-"/>
    <m/>
    <m/>
    <n v="0"/>
    <n v="3928.6"/>
    <n v="3928.6"/>
    <n v="0"/>
    <n v="-3928.6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LO"/>
    <s v="ADMIN ET LOGISTIQUE"/>
    <x v="2"/>
    <s v="ALO       ADMIN"/>
    <s v="_"/>
    <x v="7"/>
    <s v="ALO       ADMIN     2SERBAN"/>
    <s v="_"/>
    <x v="52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m/>
    <m/>
    <x v="0"/>
    <m/>
    <m/>
    <s v="-"/>
    <m/>
    <m/>
    <s v="-"/>
    <m/>
    <m/>
    <s v="-"/>
    <m/>
    <m/>
    <s v="-"/>
    <m/>
    <m/>
    <s v="-"/>
    <m/>
    <m/>
    <s v="-"/>
    <m/>
    <m/>
    <s v="-"/>
    <m/>
    <m/>
    <n v="200"/>
    <n v="0"/>
    <n v="0"/>
    <n v="0"/>
    <n v="200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LO"/>
    <s v="ADMIN ET LOGISTIQUE"/>
    <x v="2"/>
    <s v="ALO       ADMIN"/>
    <s v="_"/>
    <x v="7"/>
    <s v="ALO       ADMIN     2SERBAN"/>
    <s v="_"/>
    <x v="52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s v="627000"/>
    <s v="SERVICES BANCAIRES"/>
    <x v="28"/>
    <m/>
    <m/>
    <s v="-"/>
    <m/>
    <m/>
    <s v="-"/>
    <m/>
    <m/>
    <s v="-"/>
    <m/>
    <m/>
    <s v="-"/>
    <m/>
    <m/>
    <s v="-"/>
    <m/>
    <m/>
    <s v="-"/>
    <m/>
    <m/>
    <s v="-"/>
    <m/>
    <m/>
    <n v="0"/>
    <n v="172.49"/>
    <n v="172.49"/>
    <n v="0"/>
    <n v="-172.49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LO"/>
    <s v="ADMIN ET LOGISTIQUE"/>
    <x v="2"/>
    <s v="ALO       ADMIN"/>
    <s v="_"/>
    <x v="7"/>
    <s v="ALO       ADMIN     2SPEE"/>
    <s v="_"/>
    <x v="53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m/>
    <m/>
    <x v="0"/>
    <m/>
    <m/>
    <s v="-"/>
    <m/>
    <m/>
    <s v="-"/>
    <m/>
    <m/>
    <s v="-"/>
    <m/>
    <m/>
    <s v="-"/>
    <m/>
    <m/>
    <s v="-"/>
    <m/>
    <m/>
    <s v="-"/>
    <m/>
    <m/>
    <s v="-"/>
    <m/>
    <m/>
    <n v="12663.66"/>
    <n v="0"/>
    <n v="0"/>
    <n v="0"/>
    <n v="12663.66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LO"/>
    <s v="ADMIN ET LOGISTIQUE"/>
    <x v="2"/>
    <s v="ALO       ADMIN"/>
    <s v="_"/>
    <x v="7"/>
    <s v="ALO       ADMIN     2SPEE"/>
    <s v="_"/>
    <x v="53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s v="606800"/>
    <s v="MAT.MOB.OUT.NON IMM."/>
    <x v="5"/>
    <m/>
    <m/>
    <s v="-"/>
    <m/>
    <m/>
    <s v="-"/>
    <m/>
    <m/>
    <s v="-"/>
    <m/>
    <m/>
    <s v="-"/>
    <m/>
    <m/>
    <s v="-"/>
    <m/>
    <m/>
    <s v="-"/>
    <m/>
    <m/>
    <s v="-"/>
    <m/>
    <m/>
    <n v="0"/>
    <n v="7553.03"/>
    <n v="7553.03"/>
    <n v="0"/>
    <n v="-7553.03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LO"/>
    <s v="ADMIN ET LOGISTIQUE"/>
    <x v="2"/>
    <s v="ALO       DEPART"/>
    <s v="_"/>
    <x v="8"/>
    <s v="ALO       DEPART    2SPEEAUDI"/>
    <s v="_"/>
    <x v="54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m/>
    <m/>
    <x v="0"/>
    <m/>
    <m/>
    <s v="-"/>
    <m/>
    <m/>
    <s v="-"/>
    <m/>
    <m/>
    <s v="-"/>
    <m/>
    <m/>
    <s v="-"/>
    <m/>
    <m/>
    <s v="-"/>
    <m/>
    <m/>
    <s v="-"/>
    <m/>
    <m/>
    <s v="-"/>
    <m/>
    <m/>
    <n v="2802.53"/>
    <n v="0"/>
    <n v="0"/>
    <n v="0"/>
    <n v="2802.53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LO"/>
    <s v="ADMIN ET LOGISTIQUE"/>
    <x v="2"/>
    <s v="ALO       ENTRET"/>
    <s v="_"/>
    <x v="9"/>
    <s v="ALO       ENTRET    0ENTRETIE"/>
    <s v="_"/>
    <x v="55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m/>
    <m/>
    <x v="0"/>
    <m/>
    <m/>
    <s v="-"/>
    <m/>
    <m/>
    <s v="-"/>
    <m/>
    <m/>
    <s v="-"/>
    <m/>
    <m/>
    <s v="-"/>
    <m/>
    <m/>
    <s v="-"/>
    <m/>
    <m/>
    <s v="-"/>
    <m/>
    <m/>
    <s v="-"/>
    <m/>
    <m/>
    <n v="6812"/>
    <n v="0"/>
    <n v="0"/>
    <n v="0"/>
    <n v="6812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LO"/>
    <s v="ADMIN ET LOGISTIQUE"/>
    <x v="2"/>
    <s v="ALO       ENTRET"/>
    <s v="_"/>
    <x v="9"/>
    <s v="ALO       ENTRET    0ENTRETIE"/>
    <s v="_"/>
    <x v="55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s v="606300"/>
    <s v="FOURN.PETIT.MAT.ENTR"/>
    <x v="29"/>
    <m/>
    <m/>
    <s v="-"/>
    <m/>
    <m/>
    <s v="-"/>
    <m/>
    <m/>
    <s v="-"/>
    <m/>
    <m/>
    <s v="-"/>
    <m/>
    <m/>
    <s v="-"/>
    <m/>
    <m/>
    <s v="-"/>
    <m/>
    <m/>
    <s v="-"/>
    <m/>
    <m/>
    <n v="0"/>
    <n v="235.1"/>
    <n v="235.1"/>
    <n v="0"/>
    <n v="-235.1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LO"/>
    <s v="ADMIN ET LOGISTIQUE"/>
    <x v="2"/>
    <s v="ALO       ENTRET"/>
    <s v="_"/>
    <x v="9"/>
    <s v="ALO       ENTRET    0ENTRETIE"/>
    <s v="_"/>
    <x v="55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s v="606500"/>
    <s v="LINGE,VETEMENTS TRAV"/>
    <x v="30"/>
    <m/>
    <m/>
    <s v="-"/>
    <m/>
    <m/>
    <s v="-"/>
    <m/>
    <m/>
    <s v="-"/>
    <m/>
    <m/>
    <s v="-"/>
    <m/>
    <m/>
    <s v="-"/>
    <m/>
    <m/>
    <s v="-"/>
    <m/>
    <m/>
    <s v="-"/>
    <m/>
    <m/>
    <n v="0"/>
    <n v="1621.04"/>
    <n v="1621.04"/>
    <n v="0"/>
    <n v="-1621.04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LO"/>
    <s v="ADMIN ET LOGISTIQUE"/>
    <x v="2"/>
    <s v="ALO       ENTRET"/>
    <s v="_"/>
    <x v="9"/>
    <s v="ALO       ENTRET    0ENTRETIE"/>
    <s v="_"/>
    <x v="55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s v="606800"/>
    <s v="MAT.MOB.OUT.NON IMM."/>
    <x v="5"/>
    <m/>
    <m/>
    <s v="-"/>
    <m/>
    <m/>
    <s v="-"/>
    <m/>
    <m/>
    <s v="-"/>
    <m/>
    <m/>
    <s v="-"/>
    <m/>
    <m/>
    <s v="-"/>
    <m/>
    <m/>
    <s v="-"/>
    <m/>
    <m/>
    <s v="-"/>
    <m/>
    <m/>
    <n v="0"/>
    <n v="2037.19"/>
    <n v="2037.19"/>
    <n v="0"/>
    <n v="-2037.19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LO"/>
    <s v="ADMIN ET LOGISTIQUE"/>
    <x v="2"/>
    <s v="ALO       ENTRET"/>
    <s v="_"/>
    <x v="9"/>
    <s v="ALO       ENTRET    0ENTRETIE"/>
    <s v="_"/>
    <x v="55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s v="611200"/>
    <s v="/S-TRAIT. DIV.ENTR."/>
    <x v="31"/>
    <m/>
    <m/>
    <s v="-"/>
    <m/>
    <m/>
    <s v="-"/>
    <m/>
    <m/>
    <s v="-"/>
    <m/>
    <m/>
    <s v="-"/>
    <m/>
    <m/>
    <s v="-"/>
    <m/>
    <m/>
    <s v="-"/>
    <m/>
    <m/>
    <s v="-"/>
    <m/>
    <m/>
    <n v="0"/>
    <n v="1383.44"/>
    <n v="1383.44"/>
    <n v="0"/>
    <n v="-1383.44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LO"/>
    <s v="ADMIN ET LOGISTIQUE"/>
    <x v="2"/>
    <s v="ALO       ENTRET"/>
    <s v="_"/>
    <x v="9"/>
    <s v="ALO       ENTRET    0ENTRETIE"/>
    <s v="_"/>
    <x v="55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s v="613200"/>
    <s v="AUTRES LOCATIONS"/>
    <x v="16"/>
    <m/>
    <m/>
    <s v="-"/>
    <m/>
    <m/>
    <s v="-"/>
    <m/>
    <m/>
    <s v="-"/>
    <m/>
    <m/>
    <s v="-"/>
    <m/>
    <m/>
    <s v="-"/>
    <m/>
    <m/>
    <s v="-"/>
    <m/>
    <m/>
    <s v="-"/>
    <m/>
    <m/>
    <n v="0"/>
    <n v="412.3"/>
    <n v="412.3"/>
    <n v="0"/>
    <n v="-412.3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LO"/>
    <s v="ADMIN ET LOGISTIQUE"/>
    <x v="2"/>
    <s v="ALO       ENTRET"/>
    <s v="_"/>
    <x v="9"/>
    <s v="ALO       ENTRET    0MAINT"/>
    <s v="_"/>
    <x v="56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m/>
    <m/>
    <x v="0"/>
    <m/>
    <m/>
    <s v="-"/>
    <m/>
    <m/>
    <s v="-"/>
    <m/>
    <m/>
    <s v="-"/>
    <m/>
    <m/>
    <s v="-"/>
    <m/>
    <m/>
    <s v="-"/>
    <m/>
    <m/>
    <s v="-"/>
    <m/>
    <m/>
    <s v="-"/>
    <m/>
    <m/>
    <n v="24394.49"/>
    <n v="0"/>
    <n v="0"/>
    <n v="0"/>
    <n v="24394.49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LO"/>
    <s v="ADMIN ET LOGISTIQUE"/>
    <x v="2"/>
    <s v="ALO       ENTRET"/>
    <s v="_"/>
    <x v="9"/>
    <s v="ALO       ENTRET    0MAINT"/>
    <s v="_"/>
    <x v="56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s v="606800"/>
    <s v="MAT.MOB.OUT.NON IMM."/>
    <x v="5"/>
    <m/>
    <m/>
    <s v="-"/>
    <m/>
    <m/>
    <s v="-"/>
    <m/>
    <m/>
    <s v="-"/>
    <m/>
    <m/>
    <s v="-"/>
    <m/>
    <m/>
    <s v="-"/>
    <m/>
    <m/>
    <s v="-"/>
    <m/>
    <m/>
    <s v="-"/>
    <m/>
    <m/>
    <n v="0"/>
    <n v="1014.75"/>
    <n v="1014.75"/>
    <n v="0"/>
    <n v="-1014.75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LO"/>
    <s v="ADMIN ET LOGISTIQUE"/>
    <x v="2"/>
    <s v="ALO       ENTRET"/>
    <s v="_"/>
    <x v="9"/>
    <s v="ALO       ENTRET    0MAINT"/>
    <s v="_"/>
    <x v="56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s v="611200"/>
    <s v="/S-TRAIT. DIV.ENTR."/>
    <x v="31"/>
    <m/>
    <m/>
    <s v="-"/>
    <m/>
    <m/>
    <s v="-"/>
    <m/>
    <m/>
    <s v="-"/>
    <m/>
    <m/>
    <s v="-"/>
    <m/>
    <m/>
    <s v="-"/>
    <m/>
    <m/>
    <s v="-"/>
    <m/>
    <m/>
    <s v="-"/>
    <m/>
    <m/>
    <n v="0"/>
    <n v="5468.07"/>
    <n v="5468.07"/>
    <n v="0"/>
    <n v="-5468.07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LO"/>
    <s v="ADMIN ET LOGISTIQUE"/>
    <x v="2"/>
    <s v="ALO       ENTRET"/>
    <s v="_"/>
    <x v="9"/>
    <s v="ALO       ENTRET    0MAINT"/>
    <s v="_"/>
    <x v="56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s v="613200"/>
    <s v="AUTRES LOCATIONS"/>
    <x v="16"/>
    <m/>
    <m/>
    <s v="-"/>
    <m/>
    <m/>
    <s v="-"/>
    <m/>
    <m/>
    <s v="-"/>
    <m/>
    <m/>
    <s v="-"/>
    <m/>
    <m/>
    <s v="-"/>
    <m/>
    <m/>
    <s v="-"/>
    <m/>
    <m/>
    <s v="-"/>
    <m/>
    <m/>
    <n v="0"/>
    <n v="799.64"/>
    <n v="799.64"/>
    <n v="0"/>
    <n v="-799.64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LO"/>
    <s v="ADMIN ET LOGISTIQUE"/>
    <x v="2"/>
    <s v="ALO       ENTRET"/>
    <s v="_"/>
    <x v="9"/>
    <s v="ALO       ENTRET    2MAINT"/>
    <s v="_"/>
    <x v="57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m/>
    <m/>
    <x v="0"/>
    <m/>
    <m/>
    <s v="-"/>
    <m/>
    <m/>
    <s v="-"/>
    <m/>
    <m/>
    <s v="-"/>
    <m/>
    <m/>
    <s v="-"/>
    <m/>
    <m/>
    <s v="-"/>
    <m/>
    <m/>
    <s v="-"/>
    <m/>
    <m/>
    <s v="-"/>
    <m/>
    <m/>
    <n v="4408.55"/>
    <n v="0"/>
    <n v="0"/>
    <n v="0"/>
    <n v="4408.55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LO"/>
    <s v="ADMIN ET LOGISTIQUE"/>
    <x v="2"/>
    <s v="ALO       ENTRET"/>
    <s v="_"/>
    <x v="9"/>
    <s v="ALO       ENTRET    2MAINT"/>
    <s v="_"/>
    <x v="57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s v="611200"/>
    <s v="/S-TRAIT. DIV.ENTR."/>
    <x v="31"/>
    <m/>
    <m/>
    <s v="-"/>
    <m/>
    <m/>
    <s v="-"/>
    <m/>
    <m/>
    <s v="-"/>
    <m/>
    <m/>
    <s v="-"/>
    <m/>
    <m/>
    <s v="-"/>
    <m/>
    <m/>
    <s v="-"/>
    <m/>
    <m/>
    <s v="-"/>
    <m/>
    <m/>
    <n v="0"/>
    <n v="1182.29"/>
    <n v="1182.29"/>
    <n v="0"/>
    <n v="-1182.29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LO"/>
    <s v="ADMIN ET LOGISTIQUE"/>
    <x v="2"/>
    <s v="ALO       ENTRET"/>
    <s v="_"/>
    <x v="9"/>
    <s v="ALO       ENTRET    2MAINT"/>
    <s v="_"/>
    <x v="57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s v="611800"/>
    <s v="/S-TRAIT. AUTRES"/>
    <x v="32"/>
    <m/>
    <m/>
    <s v="-"/>
    <m/>
    <m/>
    <s v="-"/>
    <m/>
    <m/>
    <s v="-"/>
    <m/>
    <m/>
    <s v="-"/>
    <m/>
    <m/>
    <s v="-"/>
    <m/>
    <m/>
    <s v="-"/>
    <m/>
    <m/>
    <s v="-"/>
    <m/>
    <m/>
    <n v="0"/>
    <n v="2823.3"/>
    <n v="2823.3"/>
    <n v="0"/>
    <n v="-2823.3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LO"/>
    <s v="ADMIN ET LOGISTIQUE"/>
    <x v="2"/>
    <s v="ALO       ENTRET"/>
    <s v="_"/>
    <x v="9"/>
    <s v="ALO       ENTRET    2MAINTLOG"/>
    <s v="_"/>
    <x v="58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m/>
    <m/>
    <x v="0"/>
    <m/>
    <m/>
    <s v="-"/>
    <m/>
    <m/>
    <s v="-"/>
    <m/>
    <m/>
    <s v="-"/>
    <m/>
    <m/>
    <s v="-"/>
    <m/>
    <m/>
    <s v="-"/>
    <m/>
    <m/>
    <s v="-"/>
    <m/>
    <m/>
    <s v="-"/>
    <m/>
    <m/>
    <n v="350"/>
    <n v="0"/>
    <n v="0"/>
    <n v="0"/>
    <n v="350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LO"/>
    <s v="ADMIN ET LOGISTIQUE"/>
    <x v="2"/>
    <s v="ALO       ENTRET"/>
    <s v="_"/>
    <x v="9"/>
    <s v="ALO       ENTRET    2MAINTLOG"/>
    <s v="_"/>
    <x v="58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s v="611200"/>
    <s v="/S-TRAIT. DIV.ENTR."/>
    <x v="31"/>
    <m/>
    <m/>
    <s v="-"/>
    <m/>
    <m/>
    <s v="-"/>
    <m/>
    <m/>
    <s v="-"/>
    <m/>
    <m/>
    <s v="-"/>
    <m/>
    <m/>
    <s v="-"/>
    <m/>
    <m/>
    <s v="-"/>
    <m/>
    <m/>
    <s v="-"/>
    <m/>
    <m/>
    <n v="0"/>
    <n v="162.75"/>
    <n v="162.75"/>
    <n v="0"/>
    <n v="-162.75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LO"/>
    <s v="ADMIN ET LOGISTIQUE"/>
    <x v="2"/>
    <s v="ALO       ENTRET"/>
    <s v="_"/>
    <x v="9"/>
    <s v="ALO       ENTRET    2MATERIEL"/>
    <s v="_"/>
    <x v="59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m/>
    <m/>
    <x v="0"/>
    <m/>
    <m/>
    <s v="-"/>
    <m/>
    <m/>
    <s v="-"/>
    <m/>
    <m/>
    <s v="-"/>
    <m/>
    <m/>
    <s v="-"/>
    <m/>
    <m/>
    <s v="-"/>
    <m/>
    <m/>
    <s v="-"/>
    <m/>
    <m/>
    <s v="-"/>
    <m/>
    <m/>
    <n v="8000"/>
    <n v="0"/>
    <n v="0"/>
    <n v="0"/>
    <n v="8000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LO"/>
    <s v="ADMIN ET LOGISTIQUE"/>
    <x v="2"/>
    <s v="ALO       ENTRET"/>
    <s v="_"/>
    <x v="9"/>
    <s v="ALO       ENTRET    2MATERIEL"/>
    <s v="_"/>
    <x v="59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s v="606300"/>
    <s v="FOURN.PETIT.MAT.ENTR"/>
    <x v="29"/>
    <m/>
    <m/>
    <s v="-"/>
    <m/>
    <m/>
    <s v="-"/>
    <m/>
    <m/>
    <s v="-"/>
    <m/>
    <m/>
    <s v="-"/>
    <m/>
    <m/>
    <s v="-"/>
    <m/>
    <m/>
    <s v="-"/>
    <m/>
    <m/>
    <s v="-"/>
    <m/>
    <m/>
    <n v="0"/>
    <n v="105"/>
    <n v="105"/>
    <n v="0"/>
    <n v="-105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LO"/>
    <s v="ADMIN ET LOGISTIQUE"/>
    <x v="2"/>
    <s v="ALO       ENTRET"/>
    <s v="_"/>
    <x v="9"/>
    <s v="ALO       ENTRET    2MATERIEL"/>
    <s v="_"/>
    <x v="59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s v="606800"/>
    <s v="MAT.MOB.OUT.NON IMM."/>
    <x v="5"/>
    <m/>
    <m/>
    <s v="-"/>
    <m/>
    <m/>
    <s v="-"/>
    <m/>
    <m/>
    <s v="-"/>
    <m/>
    <m/>
    <s v="-"/>
    <m/>
    <m/>
    <s v="-"/>
    <m/>
    <m/>
    <s v="-"/>
    <m/>
    <m/>
    <s v="-"/>
    <m/>
    <m/>
    <n v="0"/>
    <n v="3171.56"/>
    <n v="3171.56"/>
    <n v="0"/>
    <n v="-3171.56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LO"/>
    <s v="ADMIN ET LOGISTIQUE"/>
    <x v="2"/>
    <s v="ALO       ENTRET"/>
    <s v="_"/>
    <x v="9"/>
    <s v="ALO       ENTRET    2MATERIEL"/>
    <s v="_"/>
    <x v="59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s v="612000"/>
    <s v="REDEV. CREDIT-BAIL"/>
    <x v="33"/>
    <m/>
    <m/>
    <s v="-"/>
    <m/>
    <m/>
    <s v="-"/>
    <m/>
    <m/>
    <s v="-"/>
    <m/>
    <m/>
    <s v="-"/>
    <m/>
    <m/>
    <s v="-"/>
    <m/>
    <m/>
    <s v="-"/>
    <m/>
    <m/>
    <s v="-"/>
    <m/>
    <m/>
    <n v="0"/>
    <n v="679.5"/>
    <n v="679.5"/>
    <n v="0"/>
    <n v="-679.5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LO"/>
    <s v="ADMIN ET LOGISTIQUE"/>
    <x v="2"/>
    <s v="ALO       ENTRET"/>
    <s v="_"/>
    <x v="9"/>
    <s v="ALO       ENTRET    2PROD"/>
    <s v="_"/>
    <x v="60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m/>
    <m/>
    <x v="0"/>
    <m/>
    <m/>
    <s v="-"/>
    <m/>
    <m/>
    <s v="-"/>
    <m/>
    <m/>
    <s v="-"/>
    <m/>
    <m/>
    <s v="-"/>
    <m/>
    <m/>
    <s v="-"/>
    <m/>
    <m/>
    <s v="-"/>
    <m/>
    <m/>
    <s v="-"/>
    <m/>
    <m/>
    <n v="8000"/>
    <n v="0"/>
    <n v="0"/>
    <n v="0"/>
    <n v="8000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LO"/>
    <s v="ADMIN ET LOGISTIQUE"/>
    <x v="2"/>
    <s v="ALO       ENTRET"/>
    <s v="_"/>
    <x v="9"/>
    <s v="ALO       ENTRET    2PROD"/>
    <s v="_"/>
    <x v="60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s v="606500"/>
    <s v="LINGE,VETEMENTS TRAV"/>
    <x v="30"/>
    <m/>
    <m/>
    <s v="-"/>
    <m/>
    <m/>
    <s v="-"/>
    <m/>
    <m/>
    <s v="-"/>
    <m/>
    <m/>
    <s v="-"/>
    <m/>
    <m/>
    <s v="-"/>
    <m/>
    <m/>
    <s v="-"/>
    <m/>
    <m/>
    <s v="-"/>
    <m/>
    <m/>
    <n v="0"/>
    <n v="5592.82"/>
    <n v="5592.82"/>
    <n v="0"/>
    <n v="-5592.82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LO"/>
    <s v="ADMIN ET LOGISTIQUE"/>
    <x v="2"/>
    <s v="ALO       OP-SPE"/>
    <s v="_"/>
    <x v="10"/>
    <s v="ALO       OP-SPE    0AMOR"/>
    <s v="_"/>
    <x v="61"/>
    <m/>
    <m/>
    <s v="-"/>
    <m/>
    <m/>
    <s v="-"/>
    <m/>
    <m/>
    <s v="-"/>
    <m/>
    <m/>
    <s v="-"/>
    <s v="DEP"/>
    <s v="Total Dépenses"/>
    <s v="DEP - Total Dépenses"/>
    <s v="AMORSINV"/>
    <s v="AMORT. ET SORT. INV."/>
    <s v="AMORSINV - AMORT. ET SORT. INV."/>
    <m/>
    <m/>
    <x v="0"/>
    <m/>
    <m/>
    <s v="-"/>
    <m/>
    <m/>
    <s v="-"/>
    <m/>
    <m/>
    <s v="-"/>
    <m/>
    <m/>
    <s v="-"/>
    <m/>
    <m/>
    <s v="-"/>
    <m/>
    <m/>
    <s v="-"/>
    <m/>
    <m/>
    <s v="-"/>
    <m/>
    <m/>
    <n v="8380.02"/>
    <n v="0"/>
    <n v="0"/>
    <n v="0"/>
    <n v="8380.02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LO"/>
    <s v="ADMIN ET LOGISTIQUE"/>
    <x v="2"/>
    <s v="ALO       OP-SPE"/>
    <s v="_"/>
    <x v="10"/>
    <s v="ALO       OP-SPE    0AMOR"/>
    <s v="_"/>
    <x v="61"/>
    <m/>
    <m/>
    <s v="-"/>
    <m/>
    <m/>
    <s v="-"/>
    <m/>
    <m/>
    <s v="-"/>
    <m/>
    <m/>
    <s v="-"/>
    <s v="DEP"/>
    <s v="Total Dépenses"/>
    <s v="DEP - Total Dépenses"/>
    <s v="AMORSINV"/>
    <s v="AMORT. ET SORT. INV."/>
    <s v="AMORSINV - AMORT. ET SORT. INV."/>
    <s v="681100"/>
    <s v="DOT.IMMO.CORP.INCOR."/>
    <x v="34"/>
    <m/>
    <m/>
    <s v="-"/>
    <m/>
    <m/>
    <s v="-"/>
    <m/>
    <m/>
    <s v="-"/>
    <m/>
    <m/>
    <s v="-"/>
    <m/>
    <m/>
    <s v="-"/>
    <m/>
    <m/>
    <s v="-"/>
    <m/>
    <m/>
    <s v="-"/>
    <m/>
    <m/>
    <n v="0"/>
    <n v="7510.58"/>
    <n v="7510.58"/>
    <n v="0"/>
    <n v="-7510.58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LO"/>
    <s v="ADMIN ET LOGISTIQUE"/>
    <x v="2"/>
    <s v="ALO       REPRO"/>
    <s v="_"/>
    <x v="11"/>
    <s v="ALO       REPRO     0CONSO"/>
    <s v="_"/>
    <x v="62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m/>
    <m/>
    <x v="0"/>
    <m/>
    <m/>
    <s v="-"/>
    <m/>
    <m/>
    <s v="-"/>
    <m/>
    <m/>
    <s v="-"/>
    <m/>
    <m/>
    <s v="-"/>
    <m/>
    <m/>
    <s v="-"/>
    <m/>
    <m/>
    <s v="-"/>
    <m/>
    <m/>
    <s v="-"/>
    <m/>
    <m/>
    <n v="11000"/>
    <n v="0"/>
    <n v="0"/>
    <n v="0"/>
    <n v="11000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LO"/>
    <s v="ADMIN ET LOGISTIQUE"/>
    <x v="2"/>
    <s v="ALO       REPRO"/>
    <s v="_"/>
    <x v="11"/>
    <s v="ALO       REPRO     0CONSO"/>
    <s v="_"/>
    <x v="62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s v="611800"/>
    <s v="/S-TRAIT. AUTRES"/>
    <x v="32"/>
    <m/>
    <m/>
    <s v="-"/>
    <m/>
    <m/>
    <s v="-"/>
    <m/>
    <m/>
    <s v="-"/>
    <m/>
    <m/>
    <s v="-"/>
    <m/>
    <m/>
    <s v="-"/>
    <m/>
    <m/>
    <s v="-"/>
    <m/>
    <m/>
    <s v="-"/>
    <m/>
    <m/>
    <n v="0"/>
    <n v="4626.1400000000003"/>
    <n v="4626.1400000000003"/>
    <n v="0"/>
    <n v="-4626.1400000000003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LO"/>
    <s v="ADMIN ET LOGISTIQUE"/>
    <x v="2"/>
    <s v="ALO       REPRO"/>
    <s v="_"/>
    <x v="11"/>
    <s v="ALO       REPRO     2CONSO"/>
    <s v="_"/>
    <x v="63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m/>
    <m/>
    <x v="0"/>
    <m/>
    <m/>
    <s v="-"/>
    <m/>
    <m/>
    <s v="-"/>
    <m/>
    <m/>
    <s v="-"/>
    <m/>
    <m/>
    <s v="-"/>
    <m/>
    <m/>
    <s v="-"/>
    <m/>
    <m/>
    <s v="-"/>
    <m/>
    <m/>
    <s v="-"/>
    <m/>
    <m/>
    <n v="8000"/>
    <n v="0"/>
    <n v="0"/>
    <n v="0"/>
    <n v="8000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LO"/>
    <s v="ADMIN ET LOGISTIQUE"/>
    <x v="2"/>
    <s v="ALO       REPRO"/>
    <s v="_"/>
    <x v="11"/>
    <s v="ALO       REPRO     2CONSO"/>
    <s v="_"/>
    <x v="63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s v="606400"/>
    <s v="FOURN.ADMINISTRATIVE"/>
    <x v="2"/>
    <m/>
    <m/>
    <s v="-"/>
    <m/>
    <m/>
    <s v="-"/>
    <m/>
    <m/>
    <s v="-"/>
    <m/>
    <m/>
    <s v="-"/>
    <m/>
    <m/>
    <s v="-"/>
    <m/>
    <m/>
    <s v="-"/>
    <m/>
    <m/>
    <s v="-"/>
    <m/>
    <m/>
    <n v="0"/>
    <n v="493.68"/>
    <n v="493.68"/>
    <n v="0"/>
    <n v="-493.68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LO"/>
    <s v="ADMIN ET LOGISTIQUE"/>
    <x v="2"/>
    <s v="ALO       REPRO"/>
    <s v="_"/>
    <x v="11"/>
    <s v="ALO       REPRO     2CONSO"/>
    <s v="_"/>
    <x v="63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s v="611800"/>
    <s v="/S-TRAIT. AUTRES"/>
    <x v="32"/>
    <m/>
    <m/>
    <s v="-"/>
    <m/>
    <m/>
    <s v="-"/>
    <m/>
    <m/>
    <s v="-"/>
    <m/>
    <m/>
    <s v="-"/>
    <m/>
    <m/>
    <s v="-"/>
    <m/>
    <m/>
    <s v="-"/>
    <m/>
    <m/>
    <s v="-"/>
    <m/>
    <m/>
    <n v="0"/>
    <n v="5484.43"/>
    <n v="5484.43"/>
    <n v="0"/>
    <n v="-5484.43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LO"/>
    <s v="ADMIN ET LOGISTIQUE"/>
    <x v="2"/>
    <s v="ALO       REPRO"/>
    <s v="_"/>
    <x v="11"/>
    <s v="ALO       REPRO     2LOCAPHOT"/>
    <s v="_"/>
    <x v="64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m/>
    <m/>
    <x v="0"/>
    <m/>
    <m/>
    <s v="-"/>
    <m/>
    <m/>
    <s v="-"/>
    <m/>
    <m/>
    <s v="-"/>
    <m/>
    <m/>
    <s v="-"/>
    <m/>
    <m/>
    <s v="-"/>
    <m/>
    <m/>
    <s v="-"/>
    <m/>
    <m/>
    <s v="-"/>
    <m/>
    <m/>
    <n v="13417"/>
    <n v="0"/>
    <n v="0"/>
    <n v="0"/>
    <n v="13417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LO"/>
    <s v="ADMIN ET LOGISTIQUE"/>
    <x v="2"/>
    <s v="ALO       REPRO"/>
    <s v="_"/>
    <x v="11"/>
    <s v="ALO       REPRO     2LOCAPHOT"/>
    <s v="_"/>
    <x v="64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s v="612000"/>
    <s v="REDEV. CREDIT-BAIL"/>
    <x v="33"/>
    <m/>
    <m/>
    <s v="-"/>
    <m/>
    <m/>
    <s v="-"/>
    <m/>
    <m/>
    <s v="-"/>
    <m/>
    <m/>
    <s v="-"/>
    <m/>
    <m/>
    <s v="-"/>
    <m/>
    <m/>
    <s v="-"/>
    <m/>
    <m/>
    <s v="-"/>
    <m/>
    <m/>
    <n v="0"/>
    <n v="12924.2"/>
    <n v="12924.2"/>
    <n v="0"/>
    <n v="-12924.2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LO"/>
    <s v="ADMIN ET LOGISTIQUE"/>
    <x v="2"/>
    <s v="ALO       REPRO"/>
    <s v="_"/>
    <x v="11"/>
    <s v="ALO       REPRO     2LOCAPHOT"/>
    <s v="_"/>
    <x v="64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s v="613200"/>
    <s v="AUTRES LOCATIONS"/>
    <x v="16"/>
    <m/>
    <m/>
    <s v="-"/>
    <m/>
    <m/>
    <s v="-"/>
    <m/>
    <m/>
    <s v="-"/>
    <m/>
    <m/>
    <s v="-"/>
    <m/>
    <m/>
    <s v="-"/>
    <m/>
    <m/>
    <s v="-"/>
    <m/>
    <m/>
    <s v="-"/>
    <m/>
    <m/>
    <n v="0"/>
    <n v="491.51"/>
    <n v="491.51"/>
    <n v="0"/>
    <n v="-491.51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LO"/>
    <s v="ADMIN ET LOGISTIQUE"/>
    <x v="2"/>
    <s v="ALO       REPRO"/>
    <s v="_"/>
    <x v="11"/>
    <s v="ALO       REPRO     2PAPIER"/>
    <s v="_"/>
    <x v="65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m/>
    <m/>
    <x v="0"/>
    <m/>
    <m/>
    <s v="-"/>
    <m/>
    <m/>
    <s v="-"/>
    <m/>
    <m/>
    <s v="-"/>
    <m/>
    <m/>
    <s v="-"/>
    <m/>
    <m/>
    <s v="-"/>
    <m/>
    <m/>
    <s v="-"/>
    <m/>
    <m/>
    <s v="-"/>
    <m/>
    <m/>
    <n v="5000"/>
    <n v="0"/>
    <n v="0"/>
    <n v="0"/>
    <n v="5000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LO"/>
    <s v="ADMIN ET LOGISTIQUE"/>
    <x v="2"/>
    <s v="ALO       REPRO"/>
    <s v="_"/>
    <x v="11"/>
    <s v="ALO       REPRO     2PAPIER"/>
    <s v="_"/>
    <x v="65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s v="606400"/>
    <s v="FOURN.ADMINISTRATIVE"/>
    <x v="2"/>
    <m/>
    <m/>
    <s v="-"/>
    <m/>
    <m/>
    <s v="-"/>
    <m/>
    <m/>
    <s v="-"/>
    <m/>
    <m/>
    <s v="-"/>
    <m/>
    <m/>
    <s v="-"/>
    <m/>
    <m/>
    <s v="-"/>
    <m/>
    <m/>
    <s v="-"/>
    <m/>
    <m/>
    <n v="0"/>
    <n v="3172.98"/>
    <n v="3172.98"/>
    <n v="0"/>
    <n v="-3172.98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LO"/>
    <s v="ADMIN ET LOGISTIQUE"/>
    <x v="2"/>
    <s v="ALO       VIAB"/>
    <s v="_"/>
    <x v="12"/>
    <s v="ALO       VIAB      0EAU"/>
    <s v="_"/>
    <x v="66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m/>
    <m/>
    <x v="0"/>
    <m/>
    <m/>
    <s v="-"/>
    <m/>
    <m/>
    <s v="-"/>
    <m/>
    <m/>
    <s v="-"/>
    <m/>
    <m/>
    <s v="-"/>
    <m/>
    <m/>
    <s v="-"/>
    <m/>
    <m/>
    <s v="-"/>
    <m/>
    <m/>
    <s v="-"/>
    <m/>
    <m/>
    <n v="15000"/>
    <n v="0"/>
    <n v="0"/>
    <n v="0"/>
    <n v="15000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LO"/>
    <s v="ADMIN ET LOGISTIQUE"/>
    <x v="2"/>
    <s v="ALO       VIAB"/>
    <s v="_"/>
    <x v="12"/>
    <s v="ALO       VIAB      0EAU"/>
    <s v="_"/>
    <x v="66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s v="606110"/>
    <s v="FOURN.NON ST.EAU"/>
    <x v="35"/>
    <m/>
    <m/>
    <s v="-"/>
    <m/>
    <m/>
    <s v="-"/>
    <m/>
    <m/>
    <s v="-"/>
    <m/>
    <m/>
    <s v="-"/>
    <m/>
    <m/>
    <s v="-"/>
    <m/>
    <m/>
    <s v="-"/>
    <m/>
    <m/>
    <s v="-"/>
    <m/>
    <m/>
    <n v="0"/>
    <n v="13987.31"/>
    <n v="13987.31"/>
    <n v="0"/>
    <n v="-13987.31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LO"/>
    <s v="ADMIN ET LOGISTIQUE"/>
    <x v="2"/>
    <s v="ALO       VIAB"/>
    <s v="_"/>
    <x v="12"/>
    <s v="ALO       VIAB      0ELEC"/>
    <s v="_"/>
    <x v="67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m/>
    <m/>
    <x v="0"/>
    <m/>
    <m/>
    <s v="-"/>
    <m/>
    <m/>
    <s v="-"/>
    <m/>
    <m/>
    <s v="-"/>
    <m/>
    <m/>
    <s v="-"/>
    <m/>
    <m/>
    <s v="-"/>
    <m/>
    <m/>
    <s v="-"/>
    <m/>
    <m/>
    <s v="-"/>
    <m/>
    <m/>
    <n v="40000"/>
    <n v="0"/>
    <n v="0"/>
    <n v="0"/>
    <n v="40000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LO"/>
    <s v="ADMIN ET LOGISTIQUE"/>
    <x v="2"/>
    <s v="ALO       VIAB"/>
    <s v="_"/>
    <x v="12"/>
    <s v="ALO       VIAB      0ELEC"/>
    <s v="_"/>
    <x v="67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s v="606130"/>
    <s v="FOURN.NON ST.ELECTRI"/>
    <x v="36"/>
    <m/>
    <m/>
    <s v="-"/>
    <m/>
    <m/>
    <s v="-"/>
    <m/>
    <m/>
    <s v="-"/>
    <m/>
    <m/>
    <s v="-"/>
    <m/>
    <m/>
    <s v="-"/>
    <m/>
    <m/>
    <s v="-"/>
    <m/>
    <m/>
    <s v="-"/>
    <m/>
    <m/>
    <n v="0"/>
    <n v="30546.75"/>
    <n v="30546.75"/>
    <n v="0"/>
    <n v="-30546.75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LO"/>
    <s v="ADMIN ET LOGISTIQUE"/>
    <x v="2"/>
    <s v="ALO       VIAB"/>
    <s v="_"/>
    <x v="12"/>
    <s v="ALO       VIAB      2CARBU"/>
    <s v="_"/>
    <x v="68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m/>
    <m/>
    <x v="0"/>
    <m/>
    <m/>
    <s v="-"/>
    <m/>
    <m/>
    <s v="-"/>
    <m/>
    <m/>
    <s v="-"/>
    <m/>
    <m/>
    <s v="-"/>
    <m/>
    <m/>
    <s v="-"/>
    <m/>
    <m/>
    <s v="-"/>
    <m/>
    <m/>
    <s v="-"/>
    <m/>
    <m/>
    <n v="1500"/>
    <n v="0"/>
    <n v="0"/>
    <n v="0"/>
    <n v="1500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LO"/>
    <s v="ADMIN ET LOGISTIQUE"/>
    <x v="2"/>
    <s v="ALO       VIAB"/>
    <s v="_"/>
    <x v="12"/>
    <s v="ALO       VIAB      2CARBU"/>
    <s v="_"/>
    <x v="68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s v="606140"/>
    <s v="FOURN.NO ST.CARB.LUB"/>
    <x v="37"/>
    <m/>
    <m/>
    <s v="-"/>
    <m/>
    <m/>
    <s v="-"/>
    <m/>
    <m/>
    <s v="-"/>
    <m/>
    <m/>
    <s v="-"/>
    <m/>
    <m/>
    <s v="-"/>
    <m/>
    <m/>
    <s v="-"/>
    <m/>
    <m/>
    <s v="-"/>
    <m/>
    <m/>
    <n v="0"/>
    <n v="888.96"/>
    <n v="888.96"/>
    <n v="0"/>
    <n v="-888.96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LO"/>
    <s v="ADMIN ET LOGISTIQUE"/>
    <x v="2"/>
    <s v="ALO       VIAB"/>
    <s v="_"/>
    <x v="12"/>
    <s v="ALO       VIAB      2EAU"/>
    <s v="_"/>
    <x v="69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m/>
    <m/>
    <x v="0"/>
    <m/>
    <m/>
    <s v="-"/>
    <m/>
    <m/>
    <s v="-"/>
    <m/>
    <m/>
    <s v="-"/>
    <m/>
    <m/>
    <s v="-"/>
    <m/>
    <m/>
    <s v="-"/>
    <m/>
    <m/>
    <s v="-"/>
    <m/>
    <m/>
    <s v="-"/>
    <m/>
    <m/>
    <n v="6000"/>
    <n v="0"/>
    <n v="0"/>
    <n v="0"/>
    <n v="6000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LO"/>
    <s v="ADMIN ET LOGISTIQUE"/>
    <x v="2"/>
    <s v="ALO       VIAB"/>
    <s v="_"/>
    <x v="12"/>
    <s v="ALO       VIAB      2EAU"/>
    <s v="_"/>
    <x v="69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s v="606110"/>
    <s v="FOURN.NON ST.EAU"/>
    <x v="35"/>
    <m/>
    <m/>
    <s v="-"/>
    <m/>
    <m/>
    <s v="-"/>
    <m/>
    <m/>
    <s v="-"/>
    <m/>
    <m/>
    <s v="-"/>
    <m/>
    <m/>
    <s v="-"/>
    <m/>
    <m/>
    <s v="-"/>
    <m/>
    <m/>
    <s v="-"/>
    <m/>
    <m/>
    <n v="0"/>
    <n v="6000"/>
    <n v="6000"/>
    <n v="0"/>
    <n v="-6000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LO"/>
    <s v="ADMIN ET LOGISTIQUE"/>
    <x v="2"/>
    <s v="ALO       VIAB"/>
    <s v="_"/>
    <x v="12"/>
    <s v="ALO       VIAB      2ELEC"/>
    <s v="_"/>
    <x v="70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m/>
    <m/>
    <x v="0"/>
    <m/>
    <m/>
    <s v="-"/>
    <m/>
    <m/>
    <s v="-"/>
    <m/>
    <m/>
    <s v="-"/>
    <m/>
    <m/>
    <s v="-"/>
    <m/>
    <m/>
    <s v="-"/>
    <m/>
    <m/>
    <s v="-"/>
    <m/>
    <m/>
    <s v="-"/>
    <m/>
    <m/>
    <n v="6000"/>
    <n v="0"/>
    <n v="0"/>
    <n v="0"/>
    <n v="6000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LO"/>
    <s v="ADMIN ET LOGISTIQUE"/>
    <x v="2"/>
    <s v="ALO       VIAB"/>
    <s v="_"/>
    <x v="12"/>
    <s v="ALO       VIAB      2ELEC"/>
    <s v="_"/>
    <x v="70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s v="606130"/>
    <s v="FOURN.NON ST.ELECTRI"/>
    <x v="36"/>
    <m/>
    <m/>
    <s v="-"/>
    <m/>
    <m/>
    <s v="-"/>
    <m/>
    <m/>
    <s v="-"/>
    <m/>
    <m/>
    <s v="-"/>
    <m/>
    <m/>
    <s v="-"/>
    <m/>
    <m/>
    <s v="-"/>
    <m/>
    <m/>
    <s v="-"/>
    <m/>
    <m/>
    <n v="0"/>
    <n v="5794.54"/>
    <n v="5794.54"/>
    <n v="0"/>
    <n v="-5794.54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S"/>
    <s v="SERVICES SPECIAUX"/>
    <x v="1"/>
    <s v="SRH"/>
    <s v="RESTAU ET HEBERG"/>
    <x v="3"/>
    <s v="SRH       FONCTSRH"/>
    <s v="_"/>
    <x v="13"/>
    <s v="SRH       FONCTSRH  0DIVERS"/>
    <s v="_"/>
    <x v="71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m/>
    <m/>
    <x v="0"/>
    <m/>
    <m/>
    <s v="-"/>
    <m/>
    <m/>
    <s v="-"/>
    <m/>
    <m/>
    <s v="-"/>
    <m/>
    <m/>
    <s v="-"/>
    <m/>
    <m/>
    <s v="-"/>
    <m/>
    <m/>
    <s v="-"/>
    <m/>
    <m/>
    <s v="-"/>
    <m/>
    <m/>
    <n v="51281.52"/>
    <n v="0"/>
    <n v="0"/>
    <n v="0"/>
    <n v="51281.52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S"/>
    <s v="SERVICES SPECIAUX"/>
    <x v="1"/>
    <s v="SRH"/>
    <s v="RESTAU ET HEBERG"/>
    <x v="3"/>
    <s v="SRH       FONCTSRH"/>
    <s v="_"/>
    <x v="13"/>
    <s v="SRH       FONCTSRH  0DIVERS"/>
    <s v="_"/>
    <x v="71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s v="601100"/>
    <s v="ACHATS DE DENREES"/>
    <x v="14"/>
    <m/>
    <m/>
    <s v="-"/>
    <m/>
    <m/>
    <s v="-"/>
    <m/>
    <m/>
    <s v="-"/>
    <m/>
    <m/>
    <s v="-"/>
    <m/>
    <m/>
    <s v="-"/>
    <m/>
    <m/>
    <s v="-"/>
    <m/>
    <m/>
    <s v="-"/>
    <m/>
    <m/>
    <n v="0"/>
    <n v="252.15"/>
    <n v="252.15"/>
    <n v="0"/>
    <n v="-252.15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S"/>
    <s v="SERVICES SPECIAUX"/>
    <x v="1"/>
    <s v="SRH"/>
    <s v="RESTAU ET HEBERG"/>
    <x v="3"/>
    <s v="SRH       FONCTSRH"/>
    <s v="_"/>
    <x v="13"/>
    <s v="SRH       FONCTSRH  0EAU"/>
    <s v="_"/>
    <x v="72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m/>
    <m/>
    <x v="0"/>
    <m/>
    <m/>
    <s v="-"/>
    <m/>
    <m/>
    <s v="-"/>
    <m/>
    <m/>
    <s v="-"/>
    <m/>
    <m/>
    <s v="-"/>
    <m/>
    <m/>
    <s v="-"/>
    <m/>
    <m/>
    <s v="-"/>
    <m/>
    <m/>
    <s v="-"/>
    <m/>
    <m/>
    <n v="3527.17"/>
    <n v="0"/>
    <n v="0"/>
    <n v="0"/>
    <n v="3527.17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S"/>
    <s v="SERVICES SPECIAUX"/>
    <x v="1"/>
    <s v="SRH"/>
    <s v="RESTAU ET HEBERG"/>
    <x v="3"/>
    <s v="SRH       FONCTSRH"/>
    <s v="_"/>
    <x v="13"/>
    <s v="SRH       FONCTSRH  0EAU"/>
    <s v="_"/>
    <x v="72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s v="606110"/>
    <s v="FOURN.NON ST.EAU"/>
    <x v="35"/>
    <m/>
    <m/>
    <s v="-"/>
    <m/>
    <m/>
    <s v="-"/>
    <m/>
    <m/>
    <s v="-"/>
    <m/>
    <m/>
    <s v="-"/>
    <m/>
    <m/>
    <s v="-"/>
    <m/>
    <m/>
    <s v="-"/>
    <m/>
    <m/>
    <s v="-"/>
    <m/>
    <m/>
    <n v="0"/>
    <n v="3527.17"/>
    <n v="3527.17"/>
    <n v="0"/>
    <n v="-3527.17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S"/>
    <s v="SERVICES SPECIAUX"/>
    <x v="1"/>
    <s v="SRH"/>
    <s v="RESTAU ET HEBERG"/>
    <x v="3"/>
    <s v="SRH       FONCTSRH"/>
    <s v="_"/>
    <x v="13"/>
    <s v="SRH       FONCTSRH  0ELEC"/>
    <s v="_"/>
    <x v="73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m/>
    <m/>
    <x v="0"/>
    <m/>
    <m/>
    <s v="-"/>
    <m/>
    <m/>
    <s v="-"/>
    <m/>
    <m/>
    <s v="-"/>
    <m/>
    <m/>
    <s v="-"/>
    <m/>
    <m/>
    <s v="-"/>
    <m/>
    <m/>
    <s v="-"/>
    <m/>
    <m/>
    <s v="-"/>
    <m/>
    <m/>
    <n v="6276.56"/>
    <n v="0"/>
    <n v="0"/>
    <n v="0"/>
    <n v="6276.56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S"/>
    <s v="SERVICES SPECIAUX"/>
    <x v="1"/>
    <s v="SRH"/>
    <s v="RESTAU ET HEBERG"/>
    <x v="3"/>
    <s v="SRH       FONCTSRH"/>
    <s v="_"/>
    <x v="13"/>
    <s v="SRH       FONCTSRH  0ELEC"/>
    <s v="_"/>
    <x v="73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s v="606130"/>
    <s v="FOURN.NON ST.ELECTRI"/>
    <x v="36"/>
    <m/>
    <m/>
    <s v="-"/>
    <m/>
    <m/>
    <s v="-"/>
    <m/>
    <m/>
    <s v="-"/>
    <m/>
    <m/>
    <s v="-"/>
    <m/>
    <m/>
    <s v="-"/>
    <m/>
    <m/>
    <s v="-"/>
    <m/>
    <m/>
    <s v="-"/>
    <m/>
    <m/>
    <n v="0"/>
    <n v="6276.56"/>
    <n v="6276.56"/>
    <n v="0"/>
    <n v="-6276.56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S"/>
    <s v="SERVICES SPECIAUX"/>
    <x v="1"/>
    <s v="SRH"/>
    <s v="RESTAU ET HEBERG"/>
    <x v="3"/>
    <s v="SRH       FONCTSRH"/>
    <s v="_"/>
    <x v="13"/>
    <s v="SRH       FONCTSRH  0EQUIP"/>
    <s v="_"/>
    <x v="74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m/>
    <m/>
    <x v="0"/>
    <m/>
    <m/>
    <s v="-"/>
    <m/>
    <m/>
    <s v="-"/>
    <m/>
    <m/>
    <s v="-"/>
    <m/>
    <m/>
    <s v="-"/>
    <m/>
    <m/>
    <s v="-"/>
    <m/>
    <m/>
    <s v="-"/>
    <m/>
    <m/>
    <s v="-"/>
    <m/>
    <m/>
    <n v="2250.92"/>
    <n v="0"/>
    <n v="0"/>
    <n v="0"/>
    <n v="2250.92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S"/>
    <s v="SERVICES SPECIAUX"/>
    <x v="1"/>
    <s v="SRH"/>
    <s v="RESTAU ET HEBERG"/>
    <x v="3"/>
    <s v="SRH       FONCTSRH"/>
    <s v="_"/>
    <x v="13"/>
    <s v="SRH       FONCTSRH  0EQUIP"/>
    <s v="_"/>
    <x v="74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s v="606800"/>
    <s v="MAT.MOB.OUT.NON IMM."/>
    <x v="5"/>
    <m/>
    <m/>
    <s v="-"/>
    <m/>
    <m/>
    <s v="-"/>
    <m/>
    <m/>
    <s v="-"/>
    <m/>
    <m/>
    <s v="-"/>
    <m/>
    <m/>
    <s v="-"/>
    <m/>
    <m/>
    <s v="-"/>
    <m/>
    <m/>
    <s v="-"/>
    <m/>
    <m/>
    <n v="0"/>
    <n v="2250.92"/>
    <n v="2250.92"/>
    <n v="0"/>
    <n v="-2250.92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S"/>
    <s v="SERVICES SPECIAUX"/>
    <x v="1"/>
    <s v="SRH"/>
    <s v="RESTAU ET HEBERG"/>
    <x v="3"/>
    <s v="SRH       FONCTSRH"/>
    <s v="_"/>
    <x v="13"/>
    <s v="SRH       FONCTSRH  0FOURSRH"/>
    <s v="_"/>
    <x v="75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m/>
    <m/>
    <x v="0"/>
    <m/>
    <m/>
    <s v="-"/>
    <m/>
    <m/>
    <s v="-"/>
    <m/>
    <m/>
    <s v="-"/>
    <m/>
    <m/>
    <s v="-"/>
    <m/>
    <m/>
    <s v="-"/>
    <m/>
    <m/>
    <s v="-"/>
    <m/>
    <m/>
    <s v="-"/>
    <m/>
    <m/>
    <n v="4049.8"/>
    <n v="0"/>
    <n v="0"/>
    <n v="0"/>
    <n v="4049.8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S"/>
    <s v="SERVICES SPECIAUX"/>
    <x v="1"/>
    <s v="SRH"/>
    <s v="RESTAU ET HEBERG"/>
    <x v="3"/>
    <s v="SRH       FONCTSRH"/>
    <s v="_"/>
    <x v="13"/>
    <s v="SRH       FONCTSRH  0FOURSRH"/>
    <s v="_"/>
    <x v="75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s v="606500"/>
    <s v="LINGE,VETEMENTS TRAV"/>
    <x v="30"/>
    <m/>
    <m/>
    <s v="-"/>
    <m/>
    <m/>
    <s v="-"/>
    <m/>
    <m/>
    <s v="-"/>
    <m/>
    <m/>
    <s v="-"/>
    <m/>
    <m/>
    <s v="-"/>
    <m/>
    <m/>
    <s v="-"/>
    <m/>
    <m/>
    <s v="-"/>
    <m/>
    <m/>
    <n v="0"/>
    <n v="349.8"/>
    <n v="349.8"/>
    <n v="0"/>
    <n v="-349.8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S"/>
    <s v="SERVICES SPECIAUX"/>
    <x v="1"/>
    <s v="SRH"/>
    <s v="RESTAU ET HEBERG"/>
    <x v="3"/>
    <s v="SRH       FONCTSRH"/>
    <s v="_"/>
    <x v="13"/>
    <s v="SRH       FONCTSRH  0FOURSRH"/>
    <s v="_"/>
    <x v="75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s v="606800"/>
    <s v="MAT.MOB.OUT.NON IMM."/>
    <x v="5"/>
    <m/>
    <m/>
    <s v="-"/>
    <m/>
    <m/>
    <s v="-"/>
    <m/>
    <m/>
    <s v="-"/>
    <m/>
    <m/>
    <s v="-"/>
    <m/>
    <m/>
    <s v="-"/>
    <m/>
    <m/>
    <s v="-"/>
    <m/>
    <m/>
    <s v="-"/>
    <m/>
    <m/>
    <n v="0"/>
    <n v="3700"/>
    <n v="3700"/>
    <n v="0"/>
    <n v="-3700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S"/>
    <s v="SERVICES SPECIAUX"/>
    <x v="1"/>
    <s v="SRH"/>
    <s v="RESTAU ET HEBERG"/>
    <x v="3"/>
    <s v="SRH       FONCTSRH"/>
    <s v="_"/>
    <x v="13"/>
    <s v="SRH       FONCTSRH  0MAINT"/>
    <s v="_"/>
    <x v="76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m/>
    <m/>
    <x v="0"/>
    <m/>
    <m/>
    <s v="-"/>
    <m/>
    <m/>
    <s v="-"/>
    <m/>
    <m/>
    <s v="-"/>
    <m/>
    <m/>
    <s v="-"/>
    <m/>
    <m/>
    <s v="-"/>
    <m/>
    <m/>
    <s v="-"/>
    <m/>
    <m/>
    <s v="-"/>
    <m/>
    <m/>
    <n v="1560.66"/>
    <n v="0"/>
    <n v="0"/>
    <n v="0"/>
    <n v="1560.66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S"/>
    <s v="SERVICES SPECIAUX"/>
    <x v="1"/>
    <s v="SRH"/>
    <s v="RESTAU ET HEBERG"/>
    <x v="3"/>
    <s v="SRH       FONCTSRH"/>
    <s v="_"/>
    <x v="13"/>
    <s v="SRH       FONCTSRH  0MAINT"/>
    <s v="_"/>
    <x v="76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s v="611200"/>
    <s v="/S-TRAIT. DIV.ENTR."/>
    <x v="31"/>
    <m/>
    <m/>
    <s v="-"/>
    <m/>
    <m/>
    <s v="-"/>
    <m/>
    <m/>
    <s v="-"/>
    <m/>
    <m/>
    <s v="-"/>
    <m/>
    <m/>
    <s v="-"/>
    <m/>
    <m/>
    <s v="-"/>
    <m/>
    <m/>
    <s v="-"/>
    <m/>
    <m/>
    <n v="0"/>
    <n v="1353.86"/>
    <n v="1353.86"/>
    <n v="0"/>
    <n v="-1353.86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S"/>
    <s v="SERVICES SPECIAUX"/>
    <x v="1"/>
    <s v="SRH"/>
    <s v="RESTAU ET HEBERG"/>
    <x v="3"/>
    <s v="SRH       FONCTSRH"/>
    <s v="_"/>
    <x v="13"/>
    <s v="SRH       FONCTSRH  0MAINT"/>
    <s v="_"/>
    <x v="76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s v="611800"/>
    <s v="/S-TRAIT. AUTRES"/>
    <x v="32"/>
    <m/>
    <m/>
    <s v="-"/>
    <m/>
    <m/>
    <s v="-"/>
    <m/>
    <m/>
    <s v="-"/>
    <m/>
    <m/>
    <s v="-"/>
    <m/>
    <m/>
    <s v="-"/>
    <m/>
    <m/>
    <s v="-"/>
    <m/>
    <m/>
    <s v="-"/>
    <m/>
    <m/>
    <n v="0"/>
    <n v="206.8"/>
    <n v="206.8"/>
    <n v="0"/>
    <n v="-206.8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S"/>
    <s v="SERVICES SPECIAUX"/>
    <x v="1"/>
    <s v="SRH"/>
    <s v="RESTAU ET HEBERG"/>
    <x v="3"/>
    <s v="SRH       FONCTSRH"/>
    <s v="_"/>
    <x v="13"/>
    <s v="SRH       FONCTSRH  0PROD"/>
    <s v="_"/>
    <x v="77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m/>
    <m/>
    <x v="0"/>
    <m/>
    <m/>
    <s v="-"/>
    <m/>
    <m/>
    <s v="-"/>
    <m/>
    <m/>
    <s v="-"/>
    <m/>
    <m/>
    <s v="-"/>
    <m/>
    <m/>
    <s v="-"/>
    <m/>
    <m/>
    <s v="-"/>
    <m/>
    <m/>
    <s v="-"/>
    <m/>
    <m/>
    <n v="5367.49"/>
    <n v="0"/>
    <n v="0"/>
    <n v="0"/>
    <n v="5367.49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S"/>
    <s v="SERVICES SPECIAUX"/>
    <x v="1"/>
    <s v="SRH"/>
    <s v="RESTAU ET HEBERG"/>
    <x v="3"/>
    <s v="SRH       FONCTSRH"/>
    <s v="_"/>
    <x v="13"/>
    <s v="SRH       FONCTSRH  0PROD"/>
    <s v="_"/>
    <x v="77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s v="606500"/>
    <s v="LINGE,VETEMENTS TRAV"/>
    <x v="30"/>
    <m/>
    <m/>
    <s v="-"/>
    <m/>
    <m/>
    <s v="-"/>
    <m/>
    <m/>
    <s v="-"/>
    <m/>
    <m/>
    <s v="-"/>
    <m/>
    <m/>
    <s v="-"/>
    <m/>
    <m/>
    <s v="-"/>
    <m/>
    <m/>
    <s v="-"/>
    <m/>
    <m/>
    <n v="0"/>
    <n v="5367.49"/>
    <n v="5367.49"/>
    <n v="0"/>
    <n v="-5367.49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S"/>
    <s v="SERVICES SPECIAUX"/>
    <x v="1"/>
    <s v="SRH"/>
    <s v="RESTAU ET HEBERG"/>
    <x v="3"/>
    <s v="SRH       FONCTSRH"/>
    <s v="_"/>
    <x v="13"/>
    <s v="SRH       FONCTSRH  0REPAS"/>
    <s v="_"/>
    <x v="78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m/>
    <m/>
    <x v="0"/>
    <m/>
    <m/>
    <s v="-"/>
    <m/>
    <m/>
    <s v="-"/>
    <m/>
    <m/>
    <s v="-"/>
    <m/>
    <m/>
    <s v="-"/>
    <m/>
    <m/>
    <s v="-"/>
    <m/>
    <m/>
    <s v="-"/>
    <m/>
    <m/>
    <s v="-"/>
    <m/>
    <m/>
    <n v="142221.53"/>
    <n v="0"/>
    <n v="0"/>
    <n v="0"/>
    <n v="142221.53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S"/>
    <s v="SERVICES SPECIAUX"/>
    <x v="1"/>
    <s v="SRH"/>
    <s v="RESTAU ET HEBERG"/>
    <x v="3"/>
    <s v="SRH       FONCTSRH"/>
    <s v="_"/>
    <x v="13"/>
    <s v="SRH       FONCTSRH  0REPAS"/>
    <s v="_"/>
    <x v="78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s v="611100"/>
    <s v="/S-TRAIT. REST. H."/>
    <x v="8"/>
    <m/>
    <m/>
    <s v="-"/>
    <m/>
    <m/>
    <s v="-"/>
    <m/>
    <m/>
    <s v="-"/>
    <m/>
    <m/>
    <s v="-"/>
    <m/>
    <m/>
    <s v="-"/>
    <m/>
    <m/>
    <s v="-"/>
    <m/>
    <m/>
    <s v="-"/>
    <m/>
    <m/>
    <n v="0"/>
    <n v="142221.53"/>
    <n v="142221.53"/>
    <n v="0"/>
    <n v="-142221.53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S"/>
    <s v="SERVICES SPECIAUX"/>
    <x v="1"/>
    <s v="SRH"/>
    <s v="RESTAU ET HEBERG"/>
    <x v="3"/>
    <s v="SRH       REVERS"/>
    <s v="_"/>
    <x v="14"/>
    <s v="SRH       REVERS    0COLLECT"/>
    <s v="_"/>
    <x v="79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m/>
    <m/>
    <x v="0"/>
    <m/>
    <m/>
    <s v="-"/>
    <m/>
    <m/>
    <s v="-"/>
    <m/>
    <m/>
    <s v="-"/>
    <m/>
    <m/>
    <s v="-"/>
    <m/>
    <m/>
    <s v="-"/>
    <m/>
    <m/>
    <s v="-"/>
    <m/>
    <m/>
    <s v="-"/>
    <m/>
    <m/>
    <n v="15370.95"/>
    <n v="0"/>
    <n v="0"/>
    <n v="0"/>
    <n v="15370.95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S"/>
    <s v="SERVICES SPECIAUX"/>
    <x v="1"/>
    <s v="SRH"/>
    <s v="RESTAU ET HEBERG"/>
    <x v="3"/>
    <s v="SRH       REVERS"/>
    <s v="_"/>
    <x v="14"/>
    <s v="SRH       REVERS    0COLLECT"/>
    <s v="_"/>
    <x v="79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s v="653200"/>
    <s v="TRANFERT C.T.R."/>
    <x v="38"/>
    <m/>
    <m/>
    <s v="-"/>
    <m/>
    <m/>
    <s v="-"/>
    <m/>
    <m/>
    <s v="-"/>
    <m/>
    <m/>
    <s v="-"/>
    <m/>
    <m/>
    <s v="-"/>
    <m/>
    <m/>
    <s v="-"/>
    <m/>
    <m/>
    <s v="-"/>
    <m/>
    <m/>
    <n v="0"/>
    <n v="15370.95"/>
    <n v="15370.95"/>
    <n v="0"/>
    <n v="-15370.95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S"/>
    <s v="SERVICES SPECIAUX"/>
    <x v="1"/>
    <s v="SRH"/>
    <s v="RESTAU ET HEBERG"/>
    <x v="3"/>
    <s v="SRH       REVERS"/>
    <s v="_"/>
    <x v="14"/>
    <s v="SRH       REVERS    0FCSH"/>
    <s v="_"/>
    <x v="80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m/>
    <m/>
    <x v="0"/>
    <m/>
    <m/>
    <s v="-"/>
    <m/>
    <m/>
    <s v="-"/>
    <m/>
    <m/>
    <s v="-"/>
    <m/>
    <m/>
    <s v="-"/>
    <m/>
    <m/>
    <s v="-"/>
    <m/>
    <m/>
    <s v="-"/>
    <m/>
    <m/>
    <s v="-"/>
    <m/>
    <m/>
    <n v="1921.37"/>
    <n v="0"/>
    <n v="0"/>
    <n v="0"/>
    <n v="1921.37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S"/>
    <s v="SERVICES SPECIAUX"/>
    <x v="1"/>
    <s v="SRH"/>
    <s v="RESTAU ET HEBERG"/>
    <x v="3"/>
    <s v="SRH       REVERS"/>
    <s v="_"/>
    <x v="14"/>
    <s v="SRH       REVERS    0FCSH"/>
    <s v="_"/>
    <x v="80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s v="653200"/>
    <s v="TRANFERT C.T.R."/>
    <x v="38"/>
    <m/>
    <m/>
    <s v="-"/>
    <m/>
    <m/>
    <s v="-"/>
    <m/>
    <m/>
    <s v="-"/>
    <m/>
    <m/>
    <s v="-"/>
    <m/>
    <m/>
    <s v="-"/>
    <m/>
    <m/>
    <s v="-"/>
    <m/>
    <m/>
    <s v="-"/>
    <m/>
    <m/>
    <n v="0"/>
    <n v="1921.37"/>
    <n v="1921.37"/>
    <n v="0"/>
    <n v="-1921.37"/>
    <n v="0"/>
    <n v="0"/>
    <n v="0"/>
    <n v="0"/>
    <n v="0"/>
    <n v="0"/>
    <n v="0"/>
    <n v="0"/>
  </r>
  <r>
    <s v="P03427"/>
    <s v="ETS"/>
    <s v="Etablissement"/>
    <x v="0"/>
    <s v="INVEST"/>
    <s v="INVESTISSEMENT"/>
    <x v="1"/>
    <s v="OPECAP"/>
    <s v="OPE-CAP"/>
    <x v="2"/>
    <s v="OPC"/>
    <s v="OPERATIONS EN CAP"/>
    <x v="4"/>
    <s v="OPC       EQUIPEM"/>
    <s v="_"/>
    <x v="15"/>
    <s v="OPC       EQUIPEM   0EQUIP"/>
    <s v="_"/>
    <x v="81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m/>
    <m/>
    <x v="0"/>
    <m/>
    <m/>
    <s v="-"/>
    <m/>
    <m/>
    <s v="-"/>
    <m/>
    <m/>
    <s v="-"/>
    <m/>
    <m/>
    <s v="-"/>
    <m/>
    <m/>
    <s v="-"/>
    <m/>
    <m/>
    <s v="-"/>
    <m/>
    <m/>
    <s v="-"/>
    <m/>
    <m/>
    <n v="4000"/>
    <n v="0"/>
    <n v="0"/>
    <n v="0"/>
    <n v="4000"/>
    <n v="0"/>
    <n v="0"/>
    <n v="0"/>
    <n v="0"/>
    <n v="0"/>
    <n v="0"/>
    <n v="0"/>
    <n v="0"/>
  </r>
  <r>
    <m/>
    <m/>
    <m/>
    <x v="1"/>
    <m/>
    <m/>
    <x v="2"/>
    <m/>
    <m/>
    <x v="3"/>
    <m/>
    <m/>
    <x v="5"/>
    <m/>
    <m/>
    <x v="16"/>
    <m/>
    <m/>
    <x v="82"/>
    <m/>
    <m/>
    <m/>
    <m/>
    <m/>
    <m/>
    <m/>
    <m/>
    <m/>
    <m/>
    <m/>
    <m/>
    <m/>
    <m/>
    <m/>
    <m/>
    <m/>
    <m/>
    <m/>
    <m/>
    <x v="3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Tableau croisé dynamique2" cacheId="137" applyNumberFormats="0" applyBorderFormats="0" applyFontFormats="0" applyPatternFormats="0" applyAlignmentFormats="0" applyWidthHeightFormats="1" dataCaption="Valeurs" showMissing="0" updatedVersion="6" minRefreshableVersion="3" useAutoFormatting="1" itemPrintTitles="1" createdVersion="5" indent="0" showHeaders="0" outline="1" outlineData="1" multipleFieldFilters="0">
  <location ref="B5:H298" firstHeaderRow="0" firstDataRow="1" firstDataCol="2"/>
  <pivotFields count="76">
    <pivotField showAll="0"/>
    <pivotField showAll="0"/>
    <pivotField showAll="0"/>
    <pivotField axis="axisRow" showAll="0">
      <items count="4">
        <item m="1" x="2"/>
        <item x="1"/>
        <item x="0"/>
        <item t="default"/>
      </items>
    </pivotField>
    <pivotField compact="0" showAll="0"/>
    <pivotField showAll="0"/>
    <pivotField axis="axisRow" showAll="0">
      <items count="5">
        <item m="1" x="3"/>
        <item x="2"/>
        <item x="0"/>
        <item x="1"/>
        <item t="default"/>
      </items>
    </pivotField>
    <pivotField showAll="0"/>
    <pivotField showAll="0"/>
    <pivotField axis="axisRow" showAll="0">
      <items count="6">
        <item m="1" x="4"/>
        <item x="3"/>
        <item x="0"/>
        <item x="1"/>
        <item x="2"/>
        <item t="default"/>
      </items>
    </pivotField>
    <pivotField showAll="0"/>
    <pivotField showAll="0"/>
    <pivotField axis="axisRow" showAll="0">
      <items count="9">
        <item x="5"/>
        <item x="0"/>
        <item x="1"/>
        <item x="2"/>
        <item m="1" x="6"/>
        <item m="1" x="7"/>
        <item x="3"/>
        <item x="4"/>
        <item t="default"/>
      </items>
    </pivotField>
    <pivotField showAll="0"/>
    <pivotField showAll="0"/>
    <pivotField axis="axisRow" showAll="0">
      <items count="76">
        <item x="16"/>
        <item m="1" x="37"/>
        <item m="1" x="56"/>
        <item m="1" x="55"/>
        <item m="1" x="39"/>
        <item m="1" x="22"/>
        <item m="1" x="49"/>
        <item m="1" x="26"/>
        <item m="1" x="21"/>
        <item m="1" x="69"/>
        <item m="1" x="50"/>
        <item m="1" x="54"/>
        <item m="1" x="17"/>
        <item m="1" x="45"/>
        <item m="1" x="19"/>
        <item m="1" x="57"/>
        <item m="1" x="20"/>
        <item m="1" x="23"/>
        <item m="1" x="27"/>
        <item m="1" x="28"/>
        <item m="1" x="29"/>
        <item m="1" x="67"/>
        <item m="1" x="52"/>
        <item m="1" x="30"/>
        <item m="1" x="38"/>
        <item m="1" x="43"/>
        <item m="1" x="53"/>
        <item m="1" x="18"/>
        <item m="1" x="70"/>
        <item m="1" x="34"/>
        <item m="1" x="41"/>
        <item m="1" x="42"/>
        <item m="1" x="35"/>
        <item m="1" x="47"/>
        <item m="1" x="58"/>
        <item m="1" x="62"/>
        <item m="1" x="63"/>
        <item m="1" x="71"/>
        <item m="1" x="65"/>
        <item x="7"/>
        <item m="1" x="46"/>
        <item m="1" x="44"/>
        <item m="1" x="64"/>
        <item x="10"/>
        <item m="1" x="66"/>
        <item m="1" x="33"/>
        <item m="1" x="74"/>
        <item m="1" x="31"/>
        <item m="1" x="36"/>
        <item m="1" x="60"/>
        <item m="1" x="24"/>
        <item m="1" x="59"/>
        <item m="1" x="68"/>
        <item m="1" x="32"/>
        <item m="1" x="51"/>
        <item m="1" x="25"/>
        <item x="14"/>
        <item m="1" x="61"/>
        <item m="1" x="72"/>
        <item m="1" x="48"/>
        <item m="1" x="73"/>
        <item m="1" x="40"/>
        <item x="0"/>
        <item x="1"/>
        <item x="2"/>
        <item x="3"/>
        <item x="4"/>
        <item x="5"/>
        <item x="6"/>
        <item x="8"/>
        <item x="9"/>
        <item x="11"/>
        <item x="12"/>
        <item x="13"/>
        <item x="15"/>
        <item t="default"/>
      </items>
    </pivotField>
    <pivotField showAll="0"/>
    <pivotField showAll="0"/>
    <pivotField axis="axisRow" compact="0" showAll="0">
      <items count="270">
        <item sd="0" x="82"/>
        <item sd="0" m="1" x="171"/>
        <item sd="0" m="1" x="235"/>
        <item sd="0" m="1" x="200"/>
        <item sd="0" m="1" x="117"/>
        <item sd="0" m="1" x="193"/>
        <item sd="0" m="1" x="194"/>
        <item sd="0" m="1" x="236"/>
        <item sd="0" m="1" x="264"/>
        <item sd="0" m="1" x="154"/>
        <item sd="0" m="1" x="175"/>
        <item sd="0" m="1" x="195"/>
        <item sd="0" m="1" x="201"/>
        <item sd="0" m="1" x="227"/>
        <item sd="0" m="1" x="109"/>
        <item sd="0" m="1" x="139"/>
        <item sd="0" m="1" x="202"/>
        <item sd="0" m="1" x="179"/>
        <item sd="0" m="1" x="254"/>
        <item sd="0" m="1" x="229"/>
        <item sd="0" m="1" x="183"/>
        <item sd="0" m="1" x="256"/>
        <item sd="0" m="1" x="91"/>
        <item sd="0" m="1" x="92"/>
        <item sd="0" m="1" x="186"/>
        <item sd="0" m="1" x="248"/>
        <item sd="0" m="1" x="84"/>
        <item sd="0" m="1" x="93"/>
        <item sd="0" m="1" x="244"/>
        <item sd="0" m="1" x="249"/>
        <item sd="0" m="1" x="94"/>
        <item sd="0" m="1" x="245"/>
        <item sd="0" m="1" x="100"/>
        <item sd="0" m="1" x="138"/>
        <item sd="0" m="1" x="110"/>
        <item sd="0" m="1" x="130"/>
        <item sd="0" m="1" x="212"/>
        <item sd="0" m="1" x="131"/>
        <item sd="0" m="1" x="151"/>
        <item sd="0" m="1" x="132"/>
        <item sd="0" m="1" x="103"/>
        <item sd="0" m="1" x="85"/>
        <item sd="0" m="1" x="129"/>
        <item sd="0" m="1" x="125"/>
        <item sd="0" m="1" x="113"/>
        <item sd="0" m="1" x="104"/>
        <item sd="0" m="1" x="134"/>
        <item sd="0" m="1" x="213"/>
        <item sd="0" m="1" x="165"/>
        <item sd="0" m="1" x="135"/>
        <item sd="0" m="1" x="86"/>
        <item sd="0" m="1" x="232"/>
        <item sd="0" m="1" x="221"/>
        <item sd="0" m="1" x="111"/>
        <item sd="0" m="1" x="90"/>
        <item sd="0" m="1" x="157"/>
        <item sd="0" m="1" x="214"/>
        <item sd="0" m="1" x="136"/>
        <item sd="0" m="1" x="188"/>
        <item sd="0" m="1" x="106"/>
        <item sd="0" m="1" x="87"/>
        <item sd="0" m="1" x="233"/>
        <item sd="0" m="1" x="220"/>
        <item sd="0" m="1" x="158"/>
        <item sd="0" m="1" x="215"/>
        <item sd="0" m="1" x="177"/>
        <item sd="0" m="1" x="107"/>
        <item sd="0" m="1" x="168"/>
        <item sd="0" m="1" x="190"/>
        <item sd="0" m="1" x="88"/>
        <item sd="0" m="1" x="246"/>
        <item sd="0" m="1" x="137"/>
        <item sd="0" m="1" x="180"/>
        <item sd="0" x="61"/>
        <item sd="0" m="1" x="152"/>
        <item sd="0" m="1" x="141"/>
        <item sd="0" m="1" x="170"/>
        <item sd="0" m="1" x="216"/>
        <item sd="0" m="1" x="153"/>
        <item sd="0" m="1" x="242"/>
        <item sd="0" m="1" x="234"/>
        <item sd="0" m="1" x="230"/>
        <item sd="0" m="1" x="258"/>
        <item sd="0" m="1" x="101"/>
        <item sd="0" m="1" x="149"/>
        <item sd="0" m="1" x="126"/>
        <item sd="0" m="1" x="127"/>
        <item sd="0" m="1" x="255"/>
        <item sd="0" m="1" x="259"/>
        <item sd="0" m="1" x="89"/>
        <item sd="0" m="1" x="128"/>
        <item sd="0" m="1" x="223"/>
        <item sd="0" m="1" x="260"/>
        <item sd="0" m="1" x="261"/>
        <item sd="0" m="1" x="219"/>
        <item sd="0" m="1" x="118"/>
        <item sd="0" m="1" x="119"/>
        <item sd="0" m="1" x="120"/>
        <item sd="0" m="1" x="121"/>
        <item sd="0" m="1" x="122"/>
        <item sd="0" m="1" x="123"/>
        <item sd="0" m="1" x="210"/>
        <item sd="0" m="1" x="265"/>
        <item sd="0" m="1" x="181"/>
        <item sd="0" m="1" x="217"/>
        <item sd="0" m="1" x="145"/>
        <item sd="0" m="1" x="133"/>
        <item sd="0" m="1" x="155"/>
        <item sd="0" m="1" x="203"/>
        <item sd="0" m="1" x="156"/>
        <item sd="0" m="1" x="204"/>
        <item sd="0" m="1" x="166"/>
        <item sd="0" m="1" x="205"/>
        <item sd="0" m="1" x="209"/>
        <item sd="0" m="1" x="150"/>
        <item sd="0" m="1" x="146"/>
        <item sd="0" m="1" x="173"/>
        <item sd="0" m="1" x="192"/>
        <item sd="0" m="1" x="174"/>
        <item sd="0" m="1" x="199"/>
        <item sd="0" m="1" x="224"/>
        <item sd="0" m="1" x="247"/>
        <item sd="0" m="1" x="164"/>
        <item sd="0" m="1" x="266"/>
        <item sd="0" m="1" x="231"/>
        <item sd="0" m="1" x="115"/>
        <item sd="0" m="1" x="142"/>
        <item sd="0" m="1" x="116"/>
        <item sd="0" m="1" x="163"/>
        <item sd="0" m="1" x="253"/>
        <item sd="0" m="1" x="162"/>
        <item sd="0" m="1" x="147"/>
        <item sd="0" m="1" x="144"/>
        <item sd="0" m="1" x="243"/>
        <item sd="0" m="1" x="140"/>
        <item sd="0" m="1" x="143"/>
        <item sd="0" m="1" x="237"/>
        <item sd="0" m="1" x="251"/>
        <item sd="0" m="1" x="225"/>
        <item sd="0" m="1" x="97"/>
        <item sd="0" m="1" x="197"/>
        <item sd="0" m="1" x="226"/>
        <item sd="0" m="1" x="98"/>
        <item sd="0" m="1" x="198"/>
        <item sd="0" m="1" x="263"/>
        <item sd="0" m="1" x="228"/>
        <item sd="0" m="1" x="99"/>
        <item sd="0" m="1" x="218"/>
        <item sd="0" m="1" x="95"/>
        <item sd="0" m="1" x="187"/>
        <item sd="0" m="1" x="105"/>
        <item sd="0" m="1" x="176"/>
        <item sd="0" m="1" x="207"/>
        <item sd="0" m="1" x="184"/>
        <item sd="0" m="1" x="238"/>
        <item sd="0" m="1" x="267"/>
        <item sd="0" m="1" x="239"/>
        <item sd="0" m="1" x="167"/>
        <item sd="0" m="1" x="189"/>
        <item sd="0" m="1" x="185"/>
        <item sd="0" m="1" x="240"/>
        <item sd="0" m="1" x="169"/>
        <item sd="0" m="1" x="191"/>
        <item sd="0" m="1" x="108"/>
        <item sd="0" m="1" x="208"/>
        <item sd="0" m="1" x="206"/>
        <item sd="0" m="1" x="241"/>
        <item sd="0" m="1" x="268"/>
        <item sd="0" m="1" x="182"/>
        <item sd="0" m="1" x="211"/>
        <item sd="0" m="1" x="124"/>
        <item sd="0" m="1" x="102"/>
        <item sd="0" m="1" x="148"/>
        <item sd="0" m="1" x="114"/>
        <item sd="0" m="1" x="112"/>
        <item sd="0" m="1" x="96"/>
        <item sd="0" m="1" x="196"/>
        <item sd="0" m="1" x="262"/>
        <item sd="0" m="1" x="159"/>
        <item sd="0" m="1" x="252"/>
        <item sd="0" m="1" x="160"/>
        <item sd="0" m="1" x="250"/>
        <item sd="0" m="1" x="83"/>
        <item sd="0" m="1" x="161"/>
        <item sd="0" m="1" x="178"/>
        <item sd="0" m="1" x="172"/>
        <item sd="0" m="1" x="257"/>
        <item sd="0" m="1" x="22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t="default" sd="0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0">
        <item m="1" x="60"/>
        <item x="39"/>
        <item sd="0" x="0"/>
        <item sd="0" m="1" x="58"/>
        <item sd="0" m="1" x="46"/>
        <item sd="0" m="1" x="55"/>
        <item sd="0" m="1" x="65"/>
        <item sd="0" m="1" x="57"/>
        <item sd="0" m="1" x="41"/>
        <item sd="0" x="7"/>
        <item sd="0" x="5"/>
        <item sd="0" x="31"/>
        <item sd="0" m="1" x="44"/>
        <item sd="0" x="21"/>
        <item sd="0" m="1" x="74"/>
        <item sd="0" x="20"/>
        <item sd="0" m="1" x="73"/>
        <item sd="0" m="1" x="45"/>
        <item sd="0" x="14"/>
        <item sd="0" m="1" x="69"/>
        <item sd="0" x="34"/>
        <item sd="0" m="1" x="76"/>
        <item sd="0" m="1" x="48"/>
        <item sd="0" m="1" x="70"/>
        <item sd="0" m="1" x="43"/>
        <item sd="0" m="1" x="72"/>
        <item sd="0" m="1" x="63"/>
        <item sd="0" x="23"/>
        <item sd="0" m="1" x="61"/>
        <item sd="0" m="1" x="78"/>
        <item sd="0" m="1" x="42"/>
        <item m="1" x="59"/>
        <item m="1" x="49"/>
        <item m="1" x="40"/>
        <item m="1" x="77"/>
        <item m="1" x="75"/>
        <item m="1" x="54"/>
        <item m="1" x="52"/>
        <item m="1" x="51"/>
        <item m="1" x="56"/>
        <item m="1" x="62"/>
        <item m="1" x="64"/>
        <item m="1" x="67"/>
        <item m="1" x="50"/>
        <item m="1" x="68"/>
        <item m="1" x="71"/>
        <item m="1" x="47"/>
        <item m="1" x="66"/>
        <item m="1" x="53"/>
        <item x="1"/>
        <item x="2"/>
        <item x="3"/>
        <item x="4"/>
        <item x="6"/>
        <item x="8"/>
        <item x="9"/>
        <item x="10"/>
        <item x="11"/>
        <item x="12"/>
        <item x="13"/>
        <item x="15"/>
        <item x="16"/>
        <item x="17"/>
        <item x="18"/>
        <item x="19"/>
        <item x="22"/>
        <item x="24"/>
        <item x="25"/>
        <item x="26"/>
        <item x="27"/>
        <item x="28"/>
        <item x="29"/>
        <item x="30"/>
        <item x="32"/>
        <item x="33"/>
        <item x="35"/>
        <item x="36"/>
        <item x="37"/>
        <item x="3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7">
    <field x="3"/>
    <field x="6"/>
    <field x="9"/>
    <field x="12"/>
    <field x="15"/>
    <field x="18"/>
    <field x="39"/>
  </rowFields>
  <rowItems count="293">
    <i>
      <x v="2"/>
    </i>
    <i r="1">
      <x v="2"/>
    </i>
    <i r="2">
      <x v="2"/>
    </i>
    <i r="3">
      <x v="1"/>
    </i>
    <i r="4">
      <x v="62"/>
    </i>
    <i r="5">
      <x v="188"/>
    </i>
    <i r="6">
      <x v="2"/>
    </i>
    <i r="5">
      <x v="189"/>
    </i>
    <i r="6">
      <x v="2"/>
    </i>
    <i r="4">
      <x v="63"/>
    </i>
    <i r="5">
      <x v="190"/>
    </i>
    <i r="6">
      <x v="2"/>
    </i>
    <i r="5">
      <x v="191"/>
    </i>
    <i r="6">
      <x v="2"/>
    </i>
    <i r="6">
      <x v="49"/>
    </i>
    <i r="5">
      <x v="192"/>
    </i>
    <i r="6">
      <x v="2"/>
    </i>
    <i r="6">
      <x v="50"/>
    </i>
    <i r="5">
      <x v="193"/>
    </i>
    <i r="6">
      <x v="2"/>
    </i>
    <i r="5">
      <x v="194"/>
    </i>
    <i r="6">
      <x v="2"/>
    </i>
    <i r="5">
      <x v="195"/>
    </i>
    <i r="6">
      <x v="2"/>
    </i>
    <i r="6">
      <x v="51"/>
    </i>
    <i r="5">
      <x v="196"/>
    </i>
    <i r="6">
      <x v="2"/>
    </i>
    <i r="6">
      <x v="52"/>
    </i>
    <i r="5">
      <x v="197"/>
    </i>
    <i r="6">
      <x v="2"/>
    </i>
    <i r="6">
      <x v="10"/>
    </i>
    <i r="6">
      <x v="53"/>
    </i>
    <i r="4">
      <x v="64"/>
    </i>
    <i r="5">
      <x v="198"/>
    </i>
    <i r="6">
      <x v="2"/>
    </i>
    <i r="6">
      <x v="9"/>
    </i>
    <i r="5">
      <x v="199"/>
    </i>
    <i r="6">
      <x v="2"/>
    </i>
    <i r="6">
      <x v="49"/>
    </i>
    <i r="6">
      <x v="54"/>
    </i>
    <i r="6">
      <x v="55"/>
    </i>
    <i r="5">
      <x v="200"/>
    </i>
    <i r="6">
      <x v="2"/>
    </i>
    <i r="6">
      <x v="56"/>
    </i>
    <i r="6">
      <x v="57"/>
    </i>
    <i r="6">
      <x v="58"/>
    </i>
    <i r="5">
      <x v="201"/>
    </i>
    <i r="6">
      <x v="2"/>
    </i>
    <i r="6">
      <x v="59"/>
    </i>
    <i r="5">
      <x v="202"/>
    </i>
    <i r="6">
      <x v="2"/>
    </i>
    <i r="6">
      <x v="9"/>
    </i>
    <i r="6">
      <x v="18"/>
    </i>
    <i r="5">
      <x v="203"/>
    </i>
    <i r="6">
      <x v="2"/>
    </i>
    <i r="6">
      <x v="9"/>
    </i>
    <i r="5">
      <x v="204"/>
    </i>
    <i r="6">
      <x v="2"/>
    </i>
    <i r="6">
      <x v="49"/>
    </i>
    <i r="6">
      <x v="55"/>
    </i>
    <i r="5">
      <x v="205"/>
    </i>
    <i r="6">
      <x v="2"/>
    </i>
    <i r="6">
      <x v="9"/>
    </i>
    <i r="6">
      <x v="10"/>
    </i>
    <i r="5">
      <x v="206"/>
    </i>
    <i r="6">
      <x v="2"/>
    </i>
    <i r="6">
      <x v="60"/>
    </i>
    <i r="4">
      <x v="65"/>
    </i>
    <i r="5">
      <x v="207"/>
    </i>
    <i r="6">
      <x v="2"/>
    </i>
    <i r="6">
      <x v="61"/>
    </i>
    <i r="5">
      <x v="208"/>
    </i>
    <i r="6">
      <x v="2"/>
    </i>
    <i r="6">
      <x v="49"/>
    </i>
    <i r="5">
      <x v="209"/>
    </i>
    <i r="6">
      <x v="2"/>
    </i>
    <i r="4">
      <x v="66"/>
    </i>
    <i r="5">
      <x v="210"/>
    </i>
    <i r="6">
      <x v="2"/>
    </i>
    <i r="5">
      <x v="211"/>
    </i>
    <i r="6">
      <x v="2"/>
    </i>
    <i r="5">
      <x v="212"/>
    </i>
    <i r="6">
      <x v="2"/>
    </i>
    <i r="5">
      <x v="213"/>
    </i>
    <i r="6">
      <x v="2"/>
    </i>
    <i r="6">
      <x v="62"/>
    </i>
    <i r="5">
      <x v="214"/>
    </i>
    <i r="6">
      <x v="2"/>
    </i>
    <i r="6">
      <x v="62"/>
    </i>
    <i r="5">
      <x v="215"/>
    </i>
    <i r="6">
      <x v="2"/>
    </i>
    <i r="5">
      <x v="216"/>
    </i>
    <i r="6">
      <x v="2"/>
    </i>
    <i r="6">
      <x v="10"/>
    </i>
    <i r="5">
      <x v="217"/>
    </i>
    <i r="6">
      <x v="2"/>
    </i>
    <i r="6">
      <x v="9"/>
    </i>
    <i r="6">
      <x v="10"/>
    </i>
    <i r="6">
      <x v="62"/>
    </i>
    <i r="5">
      <x v="218"/>
    </i>
    <i r="6">
      <x v="2"/>
    </i>
    <i r="6">
      <x v="52"/>
    </i>
    <i r="6">
      <x v="61"/>
    </i>
    <i r="3">
      <x v="2"/>
    </i>
    <i r="4">
      <x v="67"/>
    </i>
    <i r="5">
      <x v="219"/>
    </i>
    <i r="6">
      <x v="2"/>
    </i>
    <i r="6">
      <x v="63"/>
    </i>
    <i r="4">
      <x v="68"/>
    </i>
    <i r="5">
      <x v="220"/>
    </i>
    <i r="6">
      <x v="2"/>
    </i>
    <i r="6">
      <x v="49"/>
    </i>
    <i r="6">
      <x v="54"/>
    </i>
    <i r="6">
      <x v="55"/>
    </i>
    <i r="6">
      <x v="62"/>
    </i>
    <i r="5">
      <x v="221"/>
    </i>
    <i r="6">
      <x v="2"/>
    </i>
    <i r="6">
      <x v="10"/>
    </i>
    <i r="6">
      <x v="49"/>
    </i>
    <i r="6">
      <x v="55"/>
    </i>
    <i r="6">
      <x v="64"/>
    </i>
    <i r="5">
      <x v="222"/>
    </i>
    <i r="6">
      <x v="2"/>
    </i>
    <i r="6">
      <x v="9"/>
    </i>
    <i r="6">
      <x v="15"/>
    </i>
    <i r="6">
      <x v="49"/>
    </i>
    <i r="5">
      <x v="223"/>
    </i>
    <i r="6">
      <x v="2"/>
    </i>
    <i r="6">
      <x v="15"/>
    </i>
    <i r="3">
      <x v="3"/>
    </i>
    <i r="4">
      <x v="39"/>
    </i>
    <i r="5">
      <x v="224"/>
    </i>
    <i r="6">
      <x v="2"/>
    </i>
    <i r="5">
      <x v="225"/>
    </i>
    <i r="6">
      <x v="2"/>
    </i>
    <i r="6">
      <x v="10"/>
    </i>
    <i r="5">
      <x v="226"/>
    </i>
    <i r="6">
      <x v="2"/>
    </i>
    <i r="6">
      <x v="13"/>
    </i>
    <i r="5">
      <x v="227"/>
    </i>
    <i r="6">
      <x v="2"/>
    </i>
    <i r="6">
      <x v="65"/>
    </i>
    <i r="5">
      <x v="228"/>
    </i>
    <i r="6">
      <x v="2"/>
    </i>
    <i r="6">
      <x v="13"/>
    </i>
    <i r="5">
      <x v="229"/>
    </i>
    <i r="6">
      <x v="2"/>
    </i>
    <i r="6">
      <x v="27"/>
    </i>
    <i r="5">
      <x v="230"/>
    </i>
    <i r="6">
      <x v="2"/>
    </i>
    <i r="6">
      <x v="66"/>
    </i>
    <i r="5">
      <x v="231"/>
    </i>
    <i r="6">
      <x v="2"/>
    </i>
    <i r="6">
      <x v="13"/>
    </i>
    <i r="5">
      <x v="232"/>
    </i>
    <i r="6">
      <x v="2"/>
    </i>
    <i r="6">
      <x v="67"/>
    </i>
    <i r="5">
      <x v="233"/>
    </i>
    <i r="6">
      <x v="2"/>
    </i>
    <i r="6">
      <x v="10"/>
    </i>
    <i r="6">
      <x v="50"/>
    </i>
    <i r="5">
      <x v="234"/>
    </i>
    <i r="6">
      <x v="2"/>
    </i>
    <i r="6">
      <x v="68"/>
    </i>
    <i r="5">
      <x v="235"/>
    </i>
    <i r="6">
      <x v="2"/>
    </i>
    <i r="6">
      <x v="67"/>
    </i>
    <i r="5">
      <x v="236"/>
    </i>
    <i r="6">
      <x v="2"/>
    </i>
    <i r="6">
      <x v="10"/>
    </i>
    <i r="6">
      <x v="53"/>
    </i>
    <i r="5">
      <x v="237"/>
    </i>
    <i r="6">
      <x v="2"/>
    </i>
    <i r="6">
      <x v="69"/>
    </i>
    <i r="5">
      <x v="238"/>
    </i>
    <i r="6">
      <x v="2"/>
    </i>
    <i r="5">
      <x v="239"/>
    </i>
    <i r="6">
      <x v="2"/>
    </i>
    <i r="6">
      <x v="18"/>
    </i>
    <i r="6">
      <x v="64"/>
    </i>
    <i r="5">
      <x v="240"/>
    </i>
    <i r="6">
      <x v="2"/>
    </i>
    <i r="6">
      <x v="70"/>
    </i>
    <i r="5">
      <x v="241"/>
    </i>
    <i r="6">
      <x v="2"/>
    </i>
    <i r="6">
      <x v="10"/>
    </i>
    <i r="4">
      <x v="43"/>
    </i>
    <i r="5">
      <x v="73"/>
    </i>
    <i r="4">
      <x v="69"/>
    </i>
    <i r="5">
      <x v="242"/>
    </i>
    <i r="6">
      <x v="2"/>
    </i>
    <i r="4">
      <x v="70"/>
    </i>
    <i r="5">
      <x v="243"/>
    </i>
    <i r="6">
      <x v="2"/>
    </i>
    <i r="6">
      <x v="10"/>
    </i>
    <i r="6">
      <x v="11"/>
    </i>
    <i r="6">
      <x v="61"/>
    </i>
    <i r="6">
      <x v="71"/>
    </i>
    <i r="6">
      <x v="72"/>
    </i>
    <i r="5">
      <x v="244"/>
    </i>
    <i r="6">
      <x v="2"/>
    </i>
    <i r="6">
      <x v="10"/>
    </i>
    <i r="6">
      <x v="11"/>
    </i>
    <i r="6">
      <x v="61"/>
    </i>
    <i r="5">
      <x v="245"/>
    </i>
    <i r="6">
      <x v="2"/>
    </i>
    <i r="6">
      <x v="11"/>
    </i>
    <i r="6">
      <x v="73"/>
    </i>
    <i r="5">
      <x v="246"/>
    </i>
    <i r="6">
      <x v="2"/>
    </i>
    <i r="6">
      <x v="11"/>
    </i>
    <i r="5">
      <x v="247"/>
    </i>
    <i r="6">
      <x v="2"/>
    </i>
    <i r="6">
      <x v="10"/>
    </i>
    <i r="6">
      <x v="71"/>
    </i>
    <i r="6">
      <x v="74"/>
    </i>
    <i r="5">
      <x v="248"/>
    </i>
    <i r="6">
      <x v="2"/>
    </i>
    <i r="6">
      <x v="72"/>
    </i>
    <i r="4">
      <x v="71"/>
    </i>
    <i r="5">
      <x v="249"/>
    </i>
    <i r="6">
      <x v="2"/>
    </i>
    <i r="6">
      <x v="73"/>
    </i>
    <i r="5">
      <x v="250"/>
    </i>
    <i r="6">
      <x v="2"/>
    </i>
    <i r="6">
      <x v="50"/>
    </i>
    <i r="6">
      <x v="73"/>
    </i>
    <i r="5">
      <x v="251"/>
    </i>
    <i r="6">
      <x v="2"/>
    </i>
    <i r="6">
      <x v="61"/>
    </i>
    <i r="6">
      <x v="74"/>
    </i>
    <i r="5">
      <x v="252"/>
    </i>
    <i r="6">
      <x v="2"/>
    </i>
    <i r="6">
      <x v="50"/>
    </i>
    <i r="4">
      <x v="72"/>
    </i>
    <i r="5">
      <x v="253"/>
    </i>
    <i r="6">
      <x v="2"/>
    </i>
    <i r="6">
      <x v="75"/>
    </i>
    <i r="5">
      <x v="254"/>
    </i>
    <i r="6">
      <x v="2"/>
    </i>
    <i r="6">
      <x v="76"/>
    </i>
    <i r="5">
      <x v="255"/>
    </i>
    <i r="6">
      <x v="2"/>
    </i>
    <i r="6">
      <x v="77"/>
    </i>
    <i r="5">
      <x v="256"/>
    </i>
    <i r="6">
      <x v="2"/>
    </i>
    <i r="6">
      <x v="75"/>
    </i>
    <i r="5">
      <x v="257"/>
    </i>
    <i r="6">
      <x v="2"/>
    </i>
    <i r="6">
      <x v="76"/>
    </i>
    <i r="2">
      <x v="3"/>
    </i>
    <i r="3">
      <x v="6"/>
    </i>
    <i r="4">
      <x v="56"/>
    </i>
    <i r="5">
      <x v="266"/>
    </i>
    <i r="6">
      <x v="2"/>
    </i>
    <i r="6">
      <x v="78"/>
    </i>
    <i r="5">
      <x v="267"/>
    </i>
    <i r="6">
      <x v="2"/>
    </i>
    <i r="6">
      <x v="78"/>
    </i>
    <i r="4">
      <x v="73"/>
    </i>
    <i r="5">
      <x v="258"/>
    </i>
    <i r="6">
      <x v="2"/>
    </i>
    <i r="6">
      <x v="18"/>
    </i>
    <i r="5">
      <x v="259"/>
    </i>
    <i r="6">
      <x v="2"/>
    </i>
    <i r="6">
      <x v="75"/>
    </i>
    <i r="5">
      <x v="260"/>
    </i>
    <i r="6">
      <x v="2"/>
    </i>
    <i r="6">
      <x v="76"/>
    </i>
    <i r="5">
      <x v="261"/>
    </i>
    <i r="6">
      <x v="2"/>
    </i>
    <i r="6">
      <x v="10"/>
    </i>
    <i r="5">
      <x v="262"/>
    </i>
    <i r="6">
      <x v="2"/>
    </i>
    <i r="6">
      <x v="10"/>
    </i>
    <i r="6">
      <x v="72"/>
    </i>
    <i r="5">
      <x v="263"/>
    </i>
    <i r="6">
      <x v="2"/>
    </i>
    <i r="6">
      <x v="11"/>
    </i>
    <i r="6">
      <x v="73"/>
    </i>
    <i r="5">
      <x v="264"/>
    </i>
    <i r="6">
      <x v="2"/>
    </i>
    <i r="6">
      <x v="72"/>
    </i>
    <i r="5">
      <x v="265"/>
    </i>
    <i r="6">
      <x v="2"/>
    </i>
    <i r="6">
      <x v="54"/>
    </i>
    <i r="1">
      <x v="3"/>
    </i>
    <i r="2">
      <x v="4"/>
    </i>
    <i r="3">
      <x v="7"/>
    </i>
    <i r="4">
      <x v="74"/>
    </i>
    <i r="5">
      <x v="268"/>
    </i>
    <i r="6">
      <x v="2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omme de Montant colonne 1" fld="63" baseField="3" baseItem="0" numFmtId="164"/>
    <dataField name="Somme de Montant colonne 2" fld="64" baseField="23" baseItem="0" numFmtId="4"/>
    <dataField name="Somme de Montant colonne 3" fld="65" baseField="23" baseItem="0" numFmtId="4"/>
    <dataField name="Somme de Montant colonne 4" fld="66" baseField="23" baseItem="0" numFmtId="4"/>
    <dataField name="Somme de Montant colonne 5" fld="67" baseField="23" baseItem="0" numFmtId="4"/>
  </dataFields>
  <pivotTableStyleInfo name="EBLA" showRowHeaders="1" showColHeaders="1" showRowStripes="0" showColStripes="0" showLastColumn="1"/>
  <filters count="1">
    <filter fld="3" type="captionNotEqual" evalOrder="-1" id="4" stringValue1="">
      <autoFilter ref="A1">
        <filterColumn colId="0">
          <customFilters>
            <customFilter operator="notEqual" val=" 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298"/>
  <sheetViews>
    <sheetView showGridLines="0" tabSelected="1" zoomScaleNormal="100" workbookViewId="0">
      <selection activeCell="B1" sqref="B1"/>
    </sheetView>
  </sheetViews>
  <sheetFormatPr baseColWidth="10" defaultRowHeight="15" x14ac:dyDescent="0.25"/>
  <cols>
    <col min="1" max="1" width="3.28515625" customWidth="1" collapsed="1"/>
    <col min="2" max="2" width="41.42578125" bestFit="1" customWidth="1" collapsed="1"/>
    <col min="3" max="3" width="32.140625" bestFit="1" customWidth="1" collapsed="1"/>
    <col min="4" max="8" width="27.85546875" bestFit="1" customWidth="1" collapsed="1"/>
    <col min="9" max="16" width="16.7109375" customWidth="1" collapsed="1"/>
  </cols>
  <sheetData>
    <row r="1" spans="2:16" ht="28.5" x14ac:dyDescent="0.45">
      <c r="C1" s="11" t="s">
        <v>98</v>
      </c>
      <c r="D1" s="11"/>
      <c r="E1" s="11"/>
      <c r="F1" s="11"/>
    </row>
    <row r="2" spans="2:16" x14ac:dyDescent="0.25">
      <c r="B2" s="2" t="str">
        <f>IF(Donnees!H1&lt;&gt;"","Etablissement :","")</f>
        <v>Etablissement :</v>
      </c>
      <c r="C2" s="1" t="str">
        <f>CONCATENATE(Donnees!H1," ",Donnees!I1)</f>
        <v>P03427 9710040S</v>
      </c>
      <c r="G2" s="5" t="str">
        <f>CONCATENATE("Edité au : ",Donnees!F1)</f>
        <v>Edité au : 30/03/2026</v>
      </c>
      <c r="P2" s="1"/>
    </row>
    <row r="3" spans="2:16" ht="15.75" thickBot="1" x14ac:dyDescent="0.3"/>
    <row r="4" spans="2:16" ht="43.5" customHeight="1" thickBot="1" x14ac:dyDescent="0.3">
      <c r="B4" s="3" t="s">
        <v>4</v>
      </c>
      <c r="C4" s="4" t="s">
        <v>3</v>
      </c>
      <c r="D4" s="4" t="str">
        <f>CONCATENATE(IF(ISBLANK(Donnees!CD3),"",Donnees!CD3),CHAR(10),IF(ISBLANK(Donnees!CQ3),"",Donnees!CQ3))</f>
        <v xml:space="preserve">Budget
</v>
      </c>
      <c r="E4" s="4" t="str">
        <f>CONCATENATE(IF(ISBLANK(Donnees!CE3),"",Donnees!CE3),CHAR(10),IF(ISBLANK(Donnees!CR3),"",Donnees!CR3))</f>
        <v xml:space="preserve">Engagé
</v>
      </c>
      <c r="F4" s="4" t="str">
        <f>CONCATENATE(IF(ISBLANK(Donnees!CF3),"",Donnees!CF3),CHAR(10),IF(ISBLANK(Donnees!CS3),"",Donnees!CS3))</f>
        <v xml:space="preserve">Réalisé comptable
</v>
      </c>
      <c r="G4" s="4" t="str">
        <f>CONCATENATE(IF(ISBLANK(Donnees!CG3),"",Donnees!CG3),CHAR(10),IF(ISBLANK(Donnees!CT3),"",Donnees!CT3))</f>
        <v xml:space="preserve">En cours
</v>
      </c>
      <c r="H4" s="4" t="str">
        <f>CONCATENATE(IF(ISBLANK(Donnees!CH3),"",Donnees!CH3),CHAR(10),IF(ISBLANK(Donnees!CU3),"",Donnees!CU3))</f>
        <v xml:space="preserve">Disponible
</v>
      </c>
    </row>
    <row r="5" spans="2:16" hidden="1" x14ac:dyDescent="0.25">
      <c r="D5" s="6" t="s">
        <v>56</v>
      </c>
      <c r="E5" s="6" t="s">
        <v>57</v>
      </c>
      <c r="F5" s="6" t="s">
        <v>58</v>
      </c>
      <c r="G5" s="6" t="s">
        <v>59</v>
      </c>
      <c r="H5" s="6" t="s">
        <v>60</v>
      </c>
    </row>
    <row r="6" spans="2:16" x14ac:dyDescent="0.25">
      <c r="B6" s="9" t="s">
        <v>101</v>
      </c>
      <c r="D6" s="7">
        <v>1020626.7200000002</v>
      </c>
      <c r="E6" s="8">
        <v>853696.88000000024</v>
      </c>
      <c r="F6" s="8">
        <v>853696.88000000024</v>
      </c>
      <c r="G6" s="8">
        <v>0</v>
      </c>
      <c r="H6" s="8">
        <v>166929.84000000005</v>
      </c>
    </row>
    <row r="7" spans="2:16" x14ac:dyDescent="0.25">
      <c r="B7" s="12" t="s">
        <v>104</v>
      </c>
      <c r="D7" s="7">
        <v>1016626.7200000002</v>
      </c>
      <c r="E7" s="8">
        <v>853696.88000000024</v>
      </c>
      <c r="F7" s="8">
        <v>853696.88000000024</v>
      </c>
      <c r="G7" s="8">
        <v>0</v>
      </c>
      <c r="H7" s="8">
        <v>162929.84000000005</v>
      </c>
    </row>
    <row r="8" spans="2:16" x14ac:dyDescent="0.25">
      <c r="B8" s="13" t="s">
        <v>107</v>
      </c>
      <c r="D8" s="7">
        <v>782798.75</v>
      </c>
      <c r="E8" s="8">
        <v>670898.28</v>
      </c>
      <c r="F8" s="8">
        <v>670898.28</v>
      </c>
      <c r="G8" s="8">
        <v>0</v>
      </c>
      <c r="H8" s="8">
        <v>111900.47000000003</v>
      </c>
    </row>
    <row r="9" spans="2:16" x14ac:dyDescent="0.25">
      <c r="B9" s="14" t="s">
        <v>110</v>
      </c>
      <c r="D9" s="7">
        <v>103921.8</v>
      </c>
      <c r="E9" s="8">
        <v>71806.350000000006</v>
      </c>
      <c r="F9" s="8">
        <v>71806.350000000006</v>
      </c>
      <c r="G9" s="8">
        <v>0</v>
      </c>
      <c r="H9" s="8">
        <v>32115.449999999997</v>
      </c>
    </row>
    <row r="10" spans="2:16" x14ac:dyDescent="0.25">
      <c r="B10" s="15" t="s">
        <v>113</v>
      </c>
      <c r="D10" s="7">
        <v>1000</v>
      </c>
      <c r="E10" s="8">
        <v>0</v>
      </c>
      <c r="F10" s="8">
        <v>0</v>
      </c>
      <c r="G10" s="8">
        <v>0</v>
      </c>
      <c r="H10" s="8">
        <v>1000</v>
      </c>
    </row>
    <row r="11" spans="2:16" x14ac:dyDescent="0.25">
      <c r="B11" s="16" t="s">
        <v>115</v>
      </c>
      <c r="D11" s="7">
        <v>500</v>
      </c>
      <c r="E11" s="8">
        <v>0</v>
      </c>
      <c r="F11" s="8">
        <v>0</v>
      </c>
      <c r="G11" s="8">
        <v>0</v>
      </c>
      <c r="H11" s="8">
        <v>500</v>
      </c>
    </row>
    <row r="12" spans="2:16" x14ac:dyDescent="0.25">
      <c r="C12" s="9" t="s">
        <v>116</v>
      </c>
      <c r="D12" s="7">
        <v>500</v>
      </c>
      <c r="E12" s="8">
        <v>0</v>
      </c>
      <c r="F12" s="8">
        <v>0</v>
      </c>
      <c r="G12" s="8">
        <v>0</v>
      </c>
      <c r="H12" s="8">
        <v>500</v>
      </c>
    </row>
    <row r="13" spans="2:16" x14ac:dyDescent="0.25">
      <c r="B13" s="16" t="s">
        <v>133</v>
      </c>
      <c r="D13" s="7">
        <v>500</v>
      </c>
      <c r="E13" s="8">
        <v>0</v>
      </c>
      <c r="F13" s="8">
        <v>0</v>
      </c>
      <c r="G13" s="8">
        <v>0</v>
      </c>
      <c r="H13" s="8">
        <v>500</v>
      </c>
    </row>
    <row r="14" spans="2:16" x14ac:dyDescent="0.25">
      <c r="C14" s="9" t="s">
        <v>116</v>
      </c>
      <c r="D14" s="7">
        <v>500</v>
      </c>
      <c r="E14" s="8">
        <v>0</v>
      </c>
      <c r="F14" s="8">
        <v>0</v>
      </c>
      <c r="G14" s="8">
        <v>0</v>
      </c>
      <c r="H14" s="8">
        <v>500</v>
      </c>
    </row>
    <row r="15" spans="2:16" x14ac:dyDescent="0.25">
      <c r="B15" s="15" t="s">
        <v>135</v>
      </c>
      <c r="D15" s="7">
        <v>21181.35</v>
      </c>
      <c r="E15" s="8">
        <v>17293.61</v>
      </c>
      <c r="F15" s="8">
        <v>17293.61</v>
      </c>
      <c r="G15" s="8">
        <v>0</v>
      </c>
      <c r="H15" s="8">
        <v>3887.7399999999989</v>
      </c>
    </row>
    <row r="16" spans="2:16" x14ac:dyDescent="0.25">
      <c r="B16" s="16" t="s">
        <v>137</v>
      </c>
      <c r="D16" s="7">
        <v>200</v>
      </c>
      <c r="E16" s="8">
        <v>0</v>
      </c>
      <c r="F16" s="8">
        <v>0</v>
      </c>
      <c r="G16" s="8">
        <v>0</v>
      </c>
      <c r="H16" s="8">
        <v>200</v>
      </c>
    </row>
    <row r="17" spans="2:8" x14ac:dyDescent="0.25">
      <c r="C17" s="9" t="s">
        <v>116</v>
      </c>
      <c r="D17" s="7">
        <v>200</v>
      </c>
      <c r="E17" s="8">
        <v>0</v>
      </c>
      <c r="F17" s="8">
        <v>0</v>
      </c>
      <c r="G17" s="8">
        <v>0</v>
      </c>
      <c r="H17" s="8">
        <v>200</v>
      </c>
    </row>
    <row r="18" spans="2:8" x14ac:dyDescent="0.25">
      <c r="B18" s="16" t="s">
        <v>139</v>
      </c>
      <c r="D18" s="7">
        <v>400</v>
      </c>
      <c r="E18" s="8">
        <v>232.79</v>
      </c>
      <c r="F18" s="8">
        <v>232.79</v>
      </c>
      <c r="G18" s="8">
        <v>0</v>
      </c>
      <c r="H18" s="8">
        <v>167.21</v>
      </c>
    </row>
    <row r="19" spans="2:8" x14ac:dyDescent="0.25">
      <c r="C19" s="9" t="s">
        <v>116</v>
      </c>
      <c r="D19" s="7">
        <v>400</v>
      </c>
      <c r="E19" s="8">
        <v>0</v>
      </c>
      <c r="F19" s="8">
        <v>0</v>
      </c>
      <c r="G19" s="8">
        <v>0</v>
      </c>
      <c r="H19" s="8">
        <v>400</v>
      </c>
    </row>
    <row r="20" spans="2:8" x14ac:dyDescent="0.25">
      <c r="C20" s="9" t="s">
        <v>142</v>
      </c>
      <c r="D20" s="7">
        <v>0</v>
      </c>
      <c r="E20" s="8">
        <v>232.79</v>
      </c>
      <c r="F20" s="8">
        <v>232.79</v>
      </c>
      <c r="G20" s="8">
        <v>0</v>
      </c>
      <c r="H20" s="8">
        <v>-232.79</v>
      </c>
    </row>
    <row r="21" spans="2:8" x14ac:dyDescent="0.25">
      <c r="B21" s="16" t="s">
        <v>144</v>
      </c>
      <c r="D21" s="7">
        <v>3340</v>
      </c>
      <c r="E21" s="8">
        <v>3339.99</v>
      </c>
      <c r="F21" s="8">
        <v>3339.99</v>
      </c>
      <c r="G21" s="8">
        <v>0</v>
      </c>
      <c r="H21" s="8">
        <v>1.0000000000218279E-2</v>
      </c>
    </row>
    <row r="22" spans="2:8" x14ac:dyDescent="0.25">
      <c r="C22" s="9" t="s">
        <v>116</v>
      </c>
      <c r="D22" s="7">
        <v>3340</v>
      </c>
      <c r="E22" s="8">
        <v>0</v>
      </c>
      <c r="F22" s="8">
        <v>0</v>
      </c>
      <c r="G22" s="8">
        <v>0</v>
      </c>
      <c r="H22" s="8">
        <v>3340</v>
      </c>
    </row>
    <row r="23" spans="2:8" x14ac:dyDescent="0.25">
      <c r="C23" s="9" t="s">
        <v>147</v>
      </c>
      <c r="D23" s="7">
        <v>0</v>
      </c>
      <c r="E23" s="8">
        <v>3339.99</v>
      </c>
      <c r="F23" s="8">
        <v>3339.99</v>
      </c>
      <c r="G23" s="8">
        <v>0</v>
      </c>
      <c r="H23" s="8">
        <v>-3339.99</v>
      </c>
    </row>
    <row r="24" spans="2:8" x14ac:dyDescent="0.25">
      <c r="B24" s="16" t="s">
        <v>149</v>
      </c>
      <c r="D24" s="7">
        <v>2000</v>
      </c>
      <c r="E24" s="8">
        <v>0</v>
      </c>
      <c r="F24" s="8">
        <v>0</v>
      </c>
      <c r="G24" s="8">
        <v>0</v>
      </c>
      <c r="H24" s="8">
        <v>2000</v>
      </c>
    </row>
    <row r="25" spans="2:8" x14ac:dyDescent="0.25">
      <c r="C25" s="9" t="s">
        <v>116</v>
      </c>
      <c r="D25" s="7">
        <v>2000</v>
      </c>
      <c r="E25" s="8">
        <v>0</v>
      </c>
      <c r="F25" s="8">
        <v>0</v>
      </c>
      <c r="G25" s="8">
        <v>0</v>
      </c>
      <c r="H25" s="8">
        <v>2000</v>
      </c>
    </row>
    <row r="26" spans="2:8" x14ac:dyDescent="0.25">
      <c r="B26" s="16" t="s">
        <v>151</v>
      </c>
      <c r="D26" s="7">
        <v>500</v>
      </c>
      <c r="E26" s="8">
        <v>0</v>
      </c>
      <c r="F26" s="8">
        <v>0</v>
      </c>
      <c r="G26" s="8">
        <v>0</v>
      </c>
      <c r="H26" s="8">
        <v>500</v>
      </c>
    </row>
    <row r="27" spans="2:8" x14ac:dyDescent="0.25">
      <c r="C27" s="9" t="s">
        <v>116</v>
      </c>
      <c r="D27" s="7">
        <v>500</v>
      </c>
      <c r="E27" s="8">
        <v>0</v>
      </c>
      <c r="F27" s="8">
        <v>0</v>
      </c>
      <c r="G27" s="8">
        <v>0</v>
      </c>
      <c r="H27" s="8">
        <v>500</v>
      </c>
    </row>
    <row r="28" spans="2:8" x14ac:dyDescent="0.25">
      <c r="B28" s="16" t="s">
        <v>153</v>
      </c>
      <c r="D28" s="7">
        <v>8625.08</v>
      </c>
      <c r="E28" s="8">
        <v>8152.99</v>
      </c>
      <c r="F28" s="8">
        <v>8152.99</v>
      </c>
      <c r="G28" s="8">
        <v>0</v>
      </c>
      <c r="H28" s="8">
        <v>472.09000000000015</v>
      </c>
    </row>
    <row r="29" spans="2:8" x14ac:dyDescent="0.25">
      <c r="C29" s="9" t="s">
        <v>116</v>
      </c>
      <c r="D29" s="7">
        <v>8625.08</v>
      </c>
      <c r="E29" s="8">
        <v>0</v>
      </c>
      <c r="F29" s="8">
        <v>0</v>
      </c>
      <c r="G29" s="8">
        <v>0</v>
      </c>
      <c r="H29" s="8">
        <v>8625.08</v>
      </c>
    </row>
    <row r="30" spans="2:8" x14ac:dyDescent="0.25">
      <c r="C30" s="9" t="s">
        <v>156</v>
      </c>
      <c r="D30" s="7">
        <v>0</v>
      </c>
      <c r="E30" s="8">
        <v>8152.99</v>
      </c>
      <c r="F30" s="8">
        <v>8152.99</v>
      </c>
      <c r="G30" s="8">
        <v>0</v>
      </c>
      <c r="H30" s="8">
        <v>-8152.99</v>
      </c>
    </row>
    <row r="31" spans="2:8" x14ac:dyDescent="0.25">
      <c r="B31" s="16" t="s">
        <v>158</v>
      </c>
      <c r="D31" s="7">
        <v>1666.27</v>
      </c>
      <c r="E31" s="8">
        <v>1666.27</v>
      </c>
      <c r="F31" s="8">
        <v>1666.27</v>
      </c>
      <c r="G31" s="8">
        <v>0</v>
      </c>
      <c r="H31" s="8">
        <v>0</v>
      </c>
    </row>
    <row r="32" spans="2:8" x14ac:dyDescent="0.25">
      <c r="C32" s="9" t="s">
        <v>116</v>
      </c>
      <c r="D32" s="7">
        <v>1666.27</v>
      </c>
      <c r="E32" s="8">
        <v>0</v>
      </c>
      <c r="F32" s="8">
        <v>0</v>
      </c>
      <c r="G32" s="8">
        <v>0</v>
      </c>
      <c r="H32" s="8">
        <v>1666.27</v>
      </c>
    </row>
    <row r="33" spans="2:8" x14ac:dyDescent="0.25">
      <c r="C33" s="9" t="s">
        <v>161</v>
      </c>
      <c r="D33" s="7">
        <v>0</v>
      </c>
      <c r="E33" s="8">
        <v>1666.27</v>
      </c>
      <c r="F33" s="8">
        <v>1666.27</v>
      </c>
      <c r="G33" s="8">
        <v>0</v>
      </c>
      <c r="H33" s="8">
        <v>-1666.27</v>
      </c>
    </row>
    <row r="34" spans="2:8" x14ac:dyDescent="0.25">
      <c r="B34" s="16" t="s">
        <v>163</v>
      </c>
      <c r="D34" s="7">
        <v>4450</v>
      </c>
      <c r="E34" s="8">
        <v>3901.57</v>
      </c>
      <c r="F34" s="8">
        <v>3901.57</v>
      </c>
      <c r="G34" s="8">
        <v>0</v>
      </c>
      <c r="H34" s="8">
        <v>548.42999999999984</v>
      </c>
    </row>
    <row r="35" spans="2:8" x14ac:dyDescent="0.25">
      <c r="C35" s="9" t="s">
        <v>116</v>
      </c>
      <c r="D35" s="7">
        <v>4450</v>
      </c>
      <c r="E35" s="8">
        <v>0</v>
      </c>
      <c r="F35" s="8">
        <v>0</v>
      </c>
      <c r="G35" s="8">
        <v>0</v>
      </c>
      <c r="H35" s="8">
        <v>4450</v>
      </c>
    </row>
    <row r="36" spans="2:8" x14ac:dyDescent="0.25">
      <c r="C36" s="9" t="s">
        <v>166</v>
      </c>
      <c r="D36" s="7">
        <v>0</v>
      </c>
      <c r="E36" s="8">
        <v>1217.27</v>
      </c>
      <c r="F36" s="8">
        <v>1217.27</v>
      </c>
      <c r="G36" s="8">
        <v>0</v>
      </c>
      <c r="H36" s="8">
        <v>-1217.27</v>
      </c>
    </row>
    <row r="37" spans="2:8" x14ac:dyDescent="0.25">
      <c r="C37" s="9" t="s">
        <v>169</v>
      </c>
      <c r="D37" s="7">
        <v>0</v>
      </c>
      <c r="E37" s="8">
        <v>2684.3</v>
      </c>
      <c r="F37" s="8">
        <v>2684.3</v>
      </c>
      <c r="G37" s="8">
        <v>0</v>
      </c>
      <c r="H37" s="8">
        <v>-2684.3</v>
      </c>
    </row>
    <row r="38" spans="2:8" x14ac:dyDescent="0.25">
      <c r="B38" s="15" t="s">
        <v>171</v>
      </c>
      <c r="D38" s="7">
        <v>34530.79</v>
      </c>
      <c r="E38" s="8">
        <v>29606.44</v>
      </c>
      <c r="F38" s="8">
        <v>29606.44</v>
      </c>
      <c r="G38" s="8">
        <v>0</v>
      </c>
      <c r="H38" s="8">
        <v>4924.3500000000004</v>
      </c>
    </row>
    <row r="39" spans="2:8" x14ac:dyDescent="0.25">
      <c r="B39" s="16" t="s">
        <v>173</v>
      </c>
      <c r="D39" s="7">
        <v>1000</v>
      </c>
      <c r="E39" s="8">
        <v>783.36</v>
      </c>
      <c r="F39" s="8">
        <v>783.36</v>
      </c>
      <c r="G39" s="8">
        <v>0</v>
      </c>
      <c r="H39" s="8">
        <v>216.64</v>
      </c>
    </row>
    <row r="40" spans="2:8" x14ac:dyDescent="0.25">
      <c r="C40" s="9" t="s">
        <v>116</v>
      </c>
      <c r="D40" s="7">
        <v>1000</v>
      </c>
      <c r="E40" s="8">
        <v>0</v>
      </c>
      <c r="F40" s="8">
        <v>0</v>
      </c>
      <c r="G40" s="8">
        <v>0</v>
      </c>
      <c r="H40" s="8">
        <v>1000</v>
      </c>
    </row>
    <row r="41" spans="2:8" x14ac:dyDescent="0.25">
      <c r="C41" s="9" t="s">
        <v>176</v>
      </c>
      <c r="D41" s="7">
        <v>0</v>
      </c>
      <c r="E41" s="8">
        <v>783.36</v>
      </c>
      <c r="F41" s="8">
        <v>783.36</v>
      </c>
      <c r="G41" s="8">
        <v>0</v>
      </c>
      <c r="H41" s="8">
        <v>-783.36</v>
      </c>
    </row>
    <row r="42" spans="2:8" x14ac:dyDescent="0.25">
      <c r="B42" s="16" t="s">
        <v>178</v>
      </c>
      <c r="D42" s="7">
        <v>6000</v>
      </c>
      <c r="E42" s="8">
        <v>4577.82</v>
      </c>
      <c r="F42" s="8">
        <v>4577.82</v>
      </c>
      <c r="G42" s="8">
        <v>0</v>
      </c>
      <c r="H42" s="8">
        <v>1422.1799999999994</v>
      </c>
    </row>
    <row r="43" spans="2:8" x14ac:dyDescent="0.25">
      <c r="C43" s="9" t="s">
        <v>116</v>
      </c>
      <c r="D43" s="7">
        <v>6000</v>
      </c>
      <c r="E43" s="8">
        <v>0</v>
      </c>
      <c r="F43" s="8">
        <v>0</v>
      </c>
      <c r="G43" s="8">
        <v>0</v>
      </c>
      <c r="H43" s="8">
        <v>6000</v>
      </c>
    </row>
    <row r="44" spans="2:8" x14ac:dyDescent="0.25">
      <c r="C44" s="9" t="s">
        <v>142</v>
      </c>
      <c r="D44" s="7">
        <v>0</v>
      </c>
      <c r="E44" s="8">
        <v>1027.77</v>
      </c>
      <c r="F44" s="8">
        <v>1027.77</v>
      </c>
      <c r="G44" s="8">
        <v>0</v>
      </c>
      <c r="H44" s="8">
        <v>-1027.77</v>
      </c>
    </row>
    <row r="45" spans="2:8" x14ac:dyDescent="0.25">
      <c r="C45" s="9" t="s">
        <v>181</v>
      </c>
      <c r="D45" s="7">
        <v>0</v>
      </c>
      <c r="E45" s="8">
        <v>1120</v>
      </c>
      <c r="F45" s="8">
        <v>1120</v>
      </c>
      <c r="G45" s="8">
        <v>0</v>
      </c>
      <c r="H45" s="8">
        <v>-1120</v>
      </c>
    </row>
    <row r="46" spans="2:8" x14ac:dyDescent="0.25">
      <c r="C46" s="9" t="s">
        <v>184</v>
      </c>
      <c r="D46" s="7">
        <v>0</v>
      </c>
      <c r="E46" s="8">
        <v>2430.0500000000002</v>
      </c>
      <c r="F46" s="8">
        <v>2430.0500000000002</v>
      </c>
      <c r="G46" s="8">
        <v>0</v>
      </c>
      <c r="H46" s="8">
        <v>-2430.0500000000002</v>
      </c>
    </row>
    <row r="47" spans="2:8" x14ac:dyDescent="0.25">
      <c r="B47" s="16" t="s">
        <v>186</v>
      </c>
      <c r="D47" s="7">
        <v>4000</v>
      </c>
      <c r="E47" s="8">
        <v>3032.02</v>
      </c>
      <c r="F47" s="8">
        <v>3032.02</v>
      </c>
      <c r="G47" s="8">
        <v>0</v>
      </c>
      <c r="H47" s="8">
        <v>967.98</v>
      </c>
    </row>
    <row r="48" spans="2:8" x14ac:dyDescent="0.25">
      <c r="C48" s="9" t="s">
        <v>116</v>
      </c>
      <c r="D48" s="7">
        <v>4000</v>
      </c>
      <c r="E48" s="8">
        <v>0</v>
      </c>
      <c r="F48" s="8">
        <v>0</v>
      </c>
      <c r="G48" s="8">
        <v>0</v>
      </c>
      <c r="H48" s="8">
        <v>4000</v>
      </c>
    </row>
    <row r="49" spans="2:8" x14ac:dyDescent="0.25">
      <c r="C49" s="9" t="s">
        <v>189</v>
      </c>
      <c r="D49" s="7">
        <v>0</v>
      </c>
      <c r="E49" s="8">
        <v>1083.96</v>
      </c>
      <c r="F49" s="8">
        <v>1083.96</v>
      </c>
      <c r="G49" s="8">
        <v>0</v>
      </c>
      <c r="H49" s="8">
        <v>-1083.96</v>
      </c>
    </row>
    <row r="50" spans="2:8" x14ac:dyDescent="0.25">
      <c r="C50" s="9" t="s">
        <v>192</v>
      </c>
      <c r="D50" s="7">
        <v>0</v>
      </c>
      <c r="E50" s="8">
        <v>1159.06</v>
      </c>
      <c r="F50" s="8">
        <v>1159.06</v>
      </c>
      <c r="G50" s="8">
        <v>0</v>
      </c>
      <c r="H50" s="8">
        <v>-1159.06</v>
      </c>
    </row>
    <row r="51" spans="2:8" x14ac:dyDescent="0.25">
      <c r="C51" s="9" t="s">
        <v>195</v>
      </c>
      <c r="D51" s="7">
        <v>0</v>
      </c>
      <c r="E51" s="8">
        <v>789</v>
      </c>
      <c r="F51" s="8">
        <v>789</v>
      </c>
      <c r="G51" s="8">
        <v>0</v>
      </c>
      <c r="H51" s="8">
        <v>-789</v>
      </c>
    </row>
    <row r="52" spans="2:8" x14ac:dyDescent="0.25">
      <c r="B52" s="16" t="s">
        <v>197</v>
      </c>
      <c r="D52" s="7">
        <v>1880</v>
      </c>
      <c r="E52" s="8">
        <v>1880</v>
      </c>
      <c r="F52" s="8">
        <v>1880</v>
      </c>
      <c r="G52" s="8">
        <v>0</v>
      </c>
      <c r="H52" s="8">
        <v>0</v>
      </c>
    </row>
    <row r="53" spans="2:8" x14ac:dyDescent="0.25">
      <c r="C53" s="9" t="s">
        <v>116</v>
      </c>
      <c r="D53" s="7">
        <v>1880</v>
      </c>
      <c r="E53" s="8">
        <v>0</v>
      </c>
      <c r="F53" s="8">
        <v>0</v>
      </c>
      <c r="G53" s="8">
        <v>0</v>
      </c>
      <c r="H53" s="8">
        <v>1880</v>
      </c>
    </row>
    <row r="54" spans="2:8" x14ac:dyDescent="0.25">
      <c r="C54" s="9" t="s">
        <v>200</v>
      </c>
      <c r="D54" s="7">
        <v>0</v>
      </c>
      <c r="E54" s="8">
        <v>1880</v>
      </c>
      <c r="F54" s="8">
        <v>1880</v>
      </c>
      <c r="G54" s="8">
        <v>0</v>
      </c>
      <c r="H54" s="8">
        <v>-1880</v>
      </c>
    </row>
    <row r="55" spans="2:8" x14ac:dyDescent="0.25">
      <c r="B55" s="16" t="s">
        <v>202</v>
      </c>
      <c r="D55" s="7">
        <v>8540.16</v>
      </c>
      <c r="E55" s="8">
        <v>6546.34</v>
      </c>
      <c r="F55" s="8">
        <v>6546.34</v>
      </c>
      <c r="G55" s="8">
        <v>0</v>
      </c>
      <c r="H55" s="8">
        <v>1993.8200000000002</v>
      </c>
    </row>
    <row r="56" spans="2:8" x14ac:dyDescent="0.25">
      <c r="C56" s="9" t="s">
        <v>116</v>
      </c>
      <c r="D56" s="7">
        <v>8540.16</v>
      </c>
      <c r="E56" s="8">
        <v>0</v>
      </c>
      <c r="F56" s="8">
        <v>0</v>
      </c>
      <c r="G56" s="8">
        <v>0</v>
      </c>
      <c r="H56" s="8">
        <v>8540.16</v>
      </c>
    </row>
    <row r="57" spans="2:8" x14ac:dyDescent="0.25">
      <c r="C57" s="9" t="s">
        <v>176</v>
      </c>
      <c r="D57" s="7">
        <v>0</v>
      </c>
      <c r="E57" s="8">
        <v>6522.74</v>
      </c>
      <c r="F57" s="8">
        <v>6522.74</v>
      </c>
      <c r="G57" s="8">
        <v>0</v>
      </c>
      <c r="H57" s="8">
        <v>-6522.74</v>
      </c>
    </row>
    <row r="58" spans="2:8" x14ac:dyDescent="0.25">
      <c r="C58" s="9" t="s">
        <v>205</v>
      </c>
      <c r="D58" s="7">
        <v>0</v>
      </c>
      <c r="E58" s="8">
        <v>23.6</v>
      </c>
      <c r="F58" s="8">
        <v>23.6</v>
      </c>
      <c r="G58" s="8">
        <v>0</v>
      </c>
      <c r="H58" s="8">
        <v>-23.6</v>
      </c>
    </row>
    <row r="59" spans="2:8" x14ac:dyDescent="0.25">
      <c r="B59" s="16" t="s">
        <v>207</v>
      </c>
      <c r="D59" s="7">
        <v>100</v>
      </c>
      <c r="E59" s="8">
        <v>66.599999999999994</v>
      </c>
      <c r="F59" s="8">
        <v>66.599999999999994</v>
      </c>
      <c r="G59" s="8">
        <v>0</v>
      </c>
      <c r="H59" s="8">
        <v>33.400000000000006</v>
      </c>
    </row>
    <row r="60" spans="2:8" x14ac:dyDescent="0.25">
      <c r="C60" s="9" t="s">
        <v>116</v>
      </c>
      <c r="D60" s="7">
        <v>100</v>
      </c>
      <c r="E60" s="8">
        <v>0</v>
      </c>
      <c r="F60" s="8">
        <v>0</v>
      </c>
      <c r="G60" s="8">
        <v>0</v>
      </c>
      <c r="H60" s="8">
        <v>100</v>
      </c>
    </row>
    <row r="61" spans="2:8" x14ac:dyDescent="0.25">
      <c r="C61" s="9" t="s">
        <v>176</v>
      </c>
      <c r="D61" s="7">
        <v>0</v>
      </c>
      <c r="E61" s="8">
        <v>66.599999999999994</v>
      </c>
      <c r="F61" s="8">
        <v>66.599999999999994</v>
      </c>
      <c r="G61" s="8">
        <v>0</v>
      </c>
      <c r="H61" s="8">
        <v>-66.599999999999994</v>
      </c>
    </row>
    <row r="62" spans="2:8" x14ac:dyDescent="0.25">
      <c r="B62" s="16" t="s">
        <v>209</v>
      </c>
      <c r="D62" s="7">
        <v>7370.63</v>
      </c>
      <c r="E62" s="8">
        <v>7166.43</v>
      </c>
      <c r="F62" s="8">
        <v>7166.43</v>
      </c>
      <c r="G62" s="8">
        <v>0</v>
      </c>
      <c r="H62" s="8">
        <v>204.20000000000016</v>
      </c>
    </row>
    <row r="63" spans="2:8" x14ac:dyDescent="0.25">
      <c r="C63" s="9" t="s">
        <v>116</v>
      </c>
      <c r="D63" s="7">
        <v>7370.63</v>
      </c>
      <c r="E63" s="8">
        <v>0</v>
      </c>
      <c r="F63" s="8">
        <v>0</v>
      </c>
      <c r="G63" s="8">
        <v>0</v>
      </c>
      <c r="H63" s="8">
        <v>7370.63</v>
      </c>
    </row>
    <row r="64" spans="2:8" x14ac:dyDescent="0.25">
      <c r="C64" s="9" t="s">
        <v>142</v>
      </c>
      <c r="D64" s="7">
        <v>0</v>
      </c>
      <c r="E64" s="8">
        <v>6493.08</v>
      </c>
      <c r="F64" s="8">
        <v>6493.08</v>
      </c>
      <c r="G64" s="8">
        <v>0</v>
      </c>
      <c r="H64" s="8">
        <v>-6493.08</v>
      </c>
    </row>
    <row r="65" spans="2:8" x14ac:dyDescent="0.25">
      <c r="C65" s="9" t="s">
        <v>184</v>
      </c>
      <c r="D65" s="7">
        <v>0</v>
      </c>
      <c r="E65" s="8">
        <v>673.35</v>
      </c>
      <c r="F65" s="8">
        <v>673.35</v>
      </c>
      <c r="G65" s="8">
        <v>0</v>
      </c>
      <c r="H65" s="8">
        <v>-673.35</v>
      </c>
    </row>
    <row r="66" spans="2:8" x14ac:dyDescent="0.25">
      <c r="B66" s="16" t="s">
        <v>211</v>
      </c>
      <c r="D66" s="7">
        <v>5000</v>
      </c>
      <c r="E66" s="8">
        <v>4913.87</v>
      </c>
      <c r="F66" s="8">
        <v>4913.87</v>
      </c>
      <c r="G66" s="8">
        <v>0</v>
      </c>
      <c r="H66" s="8">
        <v>86.130000000000109</v>
      </c>
    </row>
    <row r="67" spans="2:8" x14ac:dyDescent="0.25">
      <c r="C67" s="9" t="s">
        <v>116</v>
      </c>
      <c r="D67" s="7">
        <v>5000</v>
      </c>
      <c r="E67" s="8">
        <v>0</v>
      </c>
      <c r="F67" s="8">
        <v>0</v>
      </c>
      <c r="G67" s="8">
        <v>0</v>
      </c>
      <c r="H67" s="8">
        <v>5000</v>
      </c>
    </row>
    <row r="68" spans="2:8" x14ac:dyDescent="0.25">
      <c r="C68" s="9" t="s">
        <v>176</v>
      </c>
      <c r="D68" s="7">
        <v>0</v>
      </c>
      <c r="E68" s="8">
        <v>285.02999999999997</v>
      </c>
      <c r="F68" s="8">
        <v>285.02999999999997</v>
      </c>
      <c r="G68" s="8">
        <v>0</v>
      </c>
      <c r="H68" s="8">
        <v>-285.02999999999997</v>
      </c>
    </row>
    <row r="69" spans="2:8" x14ac:dyDescent="0.25">
      <c r="C69" s="9" t="s">
        <v>166</v>
      </c>
      <c r="D69" s="7">
        <v>0</v>
      </c>
      <c r="E69" s="8">
        <v>4628.84</v>
      </c>
      <c r="F69" s="8">
        <v>4628.84</v>
      </c>
      <c r="G69" s="8">
        <v>0</v>
      </c>
      <c r="H69" s="8">
        <v>-4628.84</v>
      </c>
    </row>
    <row r="70" spans="2:8" x14ac:dyDescent="0.25">
      <c r="B70" s="16" t="s">
        <v>213</v>
      </c>
      <c r="D70" s="7">
        <v>640</v>
      </c>
      <c r="E70" s="8">
        <v>640</v>
      </c>
      <c r="F70" s="8">
        <v>640</v>
      </c>
      <c r="G70" s="8">
        <v>0</v>
      </c>
      <c r="H70" s="8">
        <v>0</v>
      </c>
    </row>
    <row r="71" spans="2:8" x14ac:dyDescent="0.25">
      <c r="C71" s="9" t="s">
        <v>116</v>
      </c>
      <c r="D71" s="7">
        <v>640</v>
      </c>
      <c r="E71" s="8">
        <v>0</v>
      </c>
      <c r="F71" s="8">
        <v>0</v>
      </c>
      <c r="G71" s="8">
        <v>0</v>
      </c>
      <c r="H71" s="8">
        <v>640</v>
      </c>
    </row>
    <row r="72" spans="2:8" x14ac:dyDescent="0.25">
      <c r="C72" s="9" t="s">
        <v>216</v>
      </c>
      <c r="D72" s="7">
        <v>0</v>
      </c>
      <c r="E72" s="8">
        <v>640</v>
      </c>
      <c r="F72" s="8">
        <v>640</v>
      </c>
      <c r="G72" s="8">
        <v>0</v>
      </c>
      <c r="H72" s="8">
        <v>-640</v>
      </c>
    </row>
    <row r="73" spans="2:8" x14ac:dyDescent="0.25">
      <c r="B73" s="15" t="s">
        <v>218</v>
      </c>
      <c r="D73" s="7">
        <v>25100</v>
      </c>
      <c r="E73" s="8">
        <v>19771.27</v>
      </c>
      <c r="F73" s="8">
        <v>19771.27</v>
      </c>
      <c r="G73" s="8">
        <v>0</v>
      </c>
      <c r="H73" s="8">
        <v>5328.73</v>
      </c>
    </row>
    <row r="74" spans="2:8" x14ac:dyDescent="0.25">
      <c r="B74" s="16" t="s">
        <v>220</v>
      </c>
      <c r="D74" s="7">
        <v>19499</v>
      </c>
      <c r="E74" s="8">
        <v>15598.2</v>
      </c>
      <c r="F74" s="8">
        <v>15598.2</v>
      </c>
      <c r="G74" s="8">
        <v>0</v>
      </c>
      <c r="H74" s="8">
        <v>3900.7999999999993</v>
      </c>
    </row>
    <row r="75" spans="2:8" x14ac:dyDescent="0.25">
      <c r="C75" s="9" t="s">
        <v>116</v>
      </c>
      <c r="D75" s="7">
        <v>19499</v>
      </c>
      <c r="E75" s="8">
        <v>0</v>
      </c>
      <c r="F75" s="8">
        <v>0</v>
      </c>
      <c r="G75" s="8">
        <v>0</v>
      </c>
      <c r="H75" s="8">
        <v>19499</v>
      </c>
    </row>
    <row r="76" spans="2:8" x14ac:dyDescent="0.25">
      <c r="C76" s="9" t="s">
        <v>223</v>
      </c>
      <c r="D76" s="7">
        <v>0</v>
      </c>
      <c r="E76" s="8">
        <v>15598.2</v>
      </c>
      <c r="F76" s="8">
        <v>15598.2</v>
      </c>
      <c r="G76" s="8">
        <v>0</v>
      </c>
      <c r="H76" s="8">
        <v>-15598.2</v>
      </c>
    </row>
    <row r="77" spans="2:8" x14ac:dyDescent="0.25">
      <c r="B77" s="16" t="s">
        <v>225</v>
      </c>
      <c r="D77" s="7">
        <v>5501</v>
      </c>
      <c r="E77" s="8">
        <v>4173.07</v>
      </c>
      <c r="F77" s="8">
        <v>4173.07</v>
      </c>
      <c r="G77" s="8">
        <v>0</v>
      </c>
      <c r="H77" s="8">
        <v>1327.9300000000003</v>
      </c>
    </row>
    <row r="78" spans="2:8" x14ac:dyDescent="0.25">
      <c r="C78" s="9" t="s">
        <v>116</v>
      </c>
      <c r="D78" s="7">
        <v>5501</v>
      </c>
      <c r="E78" s="8">
        <v>0</v>
      </c>
      <c r="F78" s="8">
        <v>0</v>
      </c>
      <c r="G78" s="8">
        <v>0</v>
      </c>
      <c r="H78" s="8">
        <v>5501</v>
      </c>
    </row>
    <row r="79" spans="2:8" x14ac:dyDescent="0.25">
      <c r="C79" s="9" t="s">
        <v>142</v>
      </c>
      <c r="D79" s="7">
        <v>0</v>
      </c>
      <c r="E79" s="8">
        <v>4173.07</v>
      </c>
      <c r="F79" s="8">
        <v>4173.07</v>
      </c>
      <c r="G79" s="8">
        <v>0</v>
      </c>
      <c r="H79" s="8">
        <v>-4173.07</v>
      </c>
    </row>
    <row r="80" spans="2:8" x14ac:dyDescent="0.25">
      <c r="B80" s="16" t="s">
        <v>227</v>
      </c>
      <c r="D80" s="7">
        <v>100</v>
      </c>
      <c r="E80" s="8">
        <v>0</v>
      </c>
      <c r="F80" s="8">
        <v>0</v>
      </c>
      <c r="G80" s="8">
        <v>0</v>
      </c>
      <c r="H80" s="8">
        <v>100</v>
      </c>
    </row>
    <row r="81" spans="2:8" x14ac:dyDescent="0.25">
      <c r="C81" s="9" t="s">
        <v>116</v>
      </c>
      <c r="D81" s="7">
        <v>100</v>
      </c>
      <c r="E81" s="8">
        <v>0</v>
      </c>
      <c r="F81" s="8">
        <v>0</v>
      </c>
      <c r="G81" s="8">
        <v>0</v>
      </c>
      <c r="H81" s="8">
        <v>100</v>
      </c>
    </row>
    <row r="82" spans="2:8" x14ac:dyDescent="0.25">
      <c r="B82" s="15" t="s">
        <v>229</v>
      </c>
      <c r="D82" s="7">
        <v>22109.659999999996</v>
      </c>
      <c r="E82" s="8">
        <v>5135.03</v>
      </c>
      <c r="F82" s="8">
        <v>5135.03</v>
      </c>
      <c r="G82" s="8">
        <v>0</v>
      </c>
      <c r="H82" s="8">
        <v>16974.629999999997</v>
      </c>
    </row>
    <row r="83" spans="2:8" x14ac:dyDescent="0.25">
      <c r="B83" s="16" t="s">
        <v>231</v>
      </c>
      <c r="D83" s="7">
        <v>4136.16</v>
      </c>
      <c r="E83" s="8">
        <v>0</v>
      </c>
      <c r="F83" s="8">
        <v>0</v>
      </c>
      <c r="G83" s="8">
        <v>0</v>
      </c>
      <c r="H83" s="8">
        <v>4136.16</v>
      </c>
    </row>
    <row r="84" spans="2:8" x14ac:dyDescent="0.25">
      <c r="C84" s="9" t="s">
        <v>116</v>
      </c>
      <c r="D84" s="7">
        <v>4136.16</v>
      </c>
      <c r="E84" s="8">
        <v>0</v>
      </c>
      <c r="F84" s="8">
        <v>0</v>
      </c>
      <c r="G84" s="8">
        <v>0</v>
      </c>
      <c r="H84" s="8">
        <v>4136.16</v>
      </c>
    </row>
    <row r="85" spans="2:8" x14ac:dyDescent="0.25">
      <c r="B85" s="16" t="s">
        <v>233</v>
      </c>
      <c r="D85" s="7">
        <v>2100</v>
      </c>
      <c r="E85" s="8">
        <v>0</v>
      </c>
      <c r="F85" s="8">
        <v>0</v>
      </c>
      <c r="G85" s="8">
        <v>0</v>
      </c>
      <c r="H85" s="8">
        <v>2100</v>
      </c>
    </row>
    <row r="86" spans="2:8" x14ac:dyDescent="0.25">
      <c r="C86" s="9" t="s">
        <v>116</v>
      </c>
      <c r="D86" s="7">
        <v>2100</v>
      </c>
      <c r="E86" s="8">
        <v>0</v>
      </c>
      <c r="F86" s="8">
        <v>0</v>
      </c>
      <c r="G86" s="8">
        <v>0</v>
      </c>
      <c r="H86" s="8">
        <v>2100</v>
      </c>
    </row>
    <row r="87" spans="2:8" x14ac:dyDescent="0.25">
      <c r="B87" s="16" t="s">
        <v>235</v>
      </c>
      <c r="D87" s="7">
        <v>2100</v>
      </c>
      <c r="E87" s="8">
        <v>0</v>
      </c>
      <c r="F87" s="8">
        <v>0</v>
      </c>
      <c r="G87" s="8">
        <v>0</v>
      </c>
      <c r="H87" s="8">
        <v>2100</v>
      </c>
    </row>
    <row r="88" spans="2:8" x14ac:dyDescent="0.25">
      <c r="C88" s="9" t="s">
        <v>116</v>
      </c>
      <c r="D88" s="7">
        <v>2100</v>
      </c>
      <c r="E88" s="8">
        <v>0</v>
      </c>
      <c r="F88" s="8">
        <v>0</v>
      </c>
      <c r="G88" s="8">
        <v>0</v>
      </c>
      <c r="H88" s="8">
        <v>2100</v>
      </c>
    </row>
    <row r="89" spans="2:8" x14ac:dyDescent="0.25">
      <c r="B89" s="16" t="s">
        <v>237</v>
      </c>
      <c r="D89" s="7">
        <v>9000</v>
      </c>
      <c r="E89" s="8">
        <v>2310</v>
      </c>
      <c r="F89" s="8">
        <v>2310</v>
      </c>
      <c r="G89" s="8">
        <v>0</v>
      </c>
      <c r="H89" s="8">
        <v>6690</v>
      </c>
    </row>
    <row r="90" spans="2:8" x14ac:dyDescent="0.25">
      <c r="C90" s="9" t="s">
        <v>116</v>
      </c>
      <c r="D90" s="7">
        <v>9000</v>
      </c>
      <c r="E90" s="8">
        <v>0</v>
      </c>
      <c r="F90" s="8">
        <v>0</v>
      </c>
      <c r="G90" s="8">
        <v>0</v>
      </c>
      <c r="H90" s="8">
        <v>9000</v>
      </c>
    </row>
    <row r="91" spans="2:8" x14ac:dyDescent="0.25">
      <c r="C91" s="9" t="s">
        <v>240</v>
      </c>
      <c r="D91" s="7">
        <v>0</v>
      </c>
      <c r="E91" s="8">
        <v>2310</v>
      </c>
      <c r="F91" s="8">
        <v>2310</v>
      </c>
      <c r="G91" s="8">
        <v>0</v>
      </c>
      <c r="H91" s="8">
        <v>-2310</v>
      </c>
    </row>
    <row r="92" spans="2:8" x14ac:dyDescent="0.25">
      <c r="B92" s="16" t="s">
        <v>242</v>
      </c>
      <c r="D92" s="7">
        <v>431.31</v>
      </c>
      <c r="E92" s="8">
        <v>385</v>
      </c>
      <c r="F92" s="8">
        <v>385</v>
      </c>
      <c r="G92" s="8">
        <v>0</v>
      </c>
      <c r="H92" s="8">
        <v>46.31</v>
      </c>
    </row>
    <row r="93" spans="2:8" x14ac:dyDescent="0.25">
      <c r="C93" s="9" t="s">
        <v>116</v>
      </c>
      <c r="D93" s="7">
        <v>431.31</v>
      </c>
      <c r="E93" s="8">
        <v>0</v>
      </c>
      <c r="F93" s="8">
        <v>0</v>
      </c>
      <c r="G93" s="8">
        <v>0</v>
      </c>
      <c r="H93" s="8">
        <v>431.31</v>
      </c>
    </row>
    <row r="94" spans="2:8" x14ac:dyDescent="0.25">
      <c r="C94" s="9" t="s">
        <v>240</v>
      </c>
      <c r="D94" s="7">
        <v>0</v>
      </c>
      <c r="E94" s="8">
        <v>385</v>
      </c>
      <c r="F94" s="8">
        <v>385</v>
      </c>
      <c r="G94" s="8">
        <v>0</v>
      </c>
      <c r="H94" s="8">
        <v>-385</v>
      </c>
    </row>
    <row r="95" spans="2:8" x14ac:dyDescent="0.25">
      <c r="B95" s="16" t="s">
        <v>244</v>
      </c>
      <c r="D95" s="7">
        <v>834.05</v>
      </c>
      <c r="E95" s="8">
        <v>0</v>
      </c>
      <c r="F95" s="8">
        <v>0</v>
      </c>
      <c r="G95" s="8">
        <v>0</v>
      </c>
      <c r="H95" s="8">
        <v>834.05</v>
      </c>
    </row>
    <row r="96" spans="2:8" x14ac:dyDescent="0.25">
      <c r="C96" s="9" t="s">
        <v>116</v>
      </c>
      <c r="D96" s="7">
        <v>834.05</v>
      </c>
      <c r="E96" s="8">
        <v>0</v>
      </c>
      <c r="F96" s="8">
        <v>0</v>
      </c>
      <c r="G96" s="8">
        <v>0</v>
      </c>
      <c r="H96" s="8">
        <v>834.05</v>
      </c>
    </row>
    <row r="97" spans="2:8" x14ac:dyDescent="0.25">
      <c r="B97" s="16" t="s">
        <v>246</v>
      </c>
      <c r="D97" s="7">
        <v>1128.08</v>
      </c>
      <c r="E97" s="8">
        <v>243.1</v>
      </c>
      <c r="F97" s="8">
        <v>243.1</v>
      </c>
      <c r="G97" s="8">
        <v>0</v>
      </c>
      <c r="H97" s="8">
        <v>884.9799999999999</v>
      </c>
    </row>
    <row r="98" spans="2:8" x14ac:dyDescent="0.25">
      <c r="C98" s="9" t="s">
        <v>116</v>
      </c>
      <c r="D98" s="7">
        <v>1128.08</v>
      </c>
      <c r="E98" s="8">
        <v>0</v>
      </c>
      <c r="F98" s="8">
        <v>0</v>
      </c>
      <c r="G98" s="8">
        <v>0</v>
      </c>
      <c r="H98" s="8">
        <v>1128.08</v>
      </c>
    </row>
    <row r="99" spans="2:8" x14ac:dyDescent="0.25">
      <c r="C99" s="9" t="s">
        <v>166</v>
      </c>
      <c r="D99" s="7">
        <v>0</v>
      </c>
      <c r="E99" s="8">
        <v>243.1</v>
      </c>
      <c r="F99" s="8">
        <v>243.1</v>
      </c>
      <c r="G99" s="8">
        <v>0</v>
      </c>
      <c r="H99" s="8">
        <v>-243.1</v>
      </c>
    </row>
    <row r="100" spans="2:8" x14ac:dyDescent="0.25">
      <c r="B100" s="16" t="s">
        <v>248</v>
      </c>
      <c r="D100" s="7">
        <v>1069.21</v>
      </c>
      <c r="E100" s="8">
        <v>1069.21</v>
      </c>
      <c r="F100" s="8">
        <v>1069.21</v>
      </c>
      <c r="G100" s="8">
        <v>0</v>
      </c>
      <c r="H100" s="8">
        <v>0</v>
      </c>
    </row>
    <row r="101" spans="2:8" x14ac:dyDescent="0.25">
      <c r="C101" s="9" t="s">
        <v>116</v>
      </c>
      <c r="D101" s="7">
        <v>1069.21</v>
      </c>
      <c r="E101" s="8">
        <v>0</v>
      </c>
      <c r="F101" s="8">
        <v>0</v>
      </c>
      <c r="G101" s="8">
        <v>0</v>
      </c>
      <c r="H101" s="8">
        <v>1069.21</v>
      </c>
    </row>
    <row r="102" spans="2:8" x14ac:dyDescent="0.25">
      <c r="C102" s="9" t="s">
        <v>176</v>
      </c>
      <c r="D102" s="7">
        <v>0</v>
      </c>
      <c r="E102" s="8">
        <v>224.76</v>
      </c>
      <c r="F102" s="8">
        <v>224.76</v>
      </c>
      <c r="G102" s="8">
        <v>0</v>
      </c>
      <c r="H102" s="8">
        <v>-224.76</v>
      </c>
    </row>
    <row r="103" spans="2:8" x14ac:dyDescent="0.25">
      <c r="C103" s="9" t="s">
        <v>166</v>
      </c>
      <c r="D103" s="7">
        <v>0</v>
      </c>
      <c r="E103" s="8">
        <v>162.44999999999999</v>
      </c>
      <c r="F103" s="8">
        <v>162.44999999999999</v>
      </c>
      <c r="G103" s="8">
        <v>0</v>
      </c>
      <c r="H103" s="8">
        <v>-162.44999999999999</v>
      </c>
    </row>
    <row r="104" spans="2:8" x14ac:dyDescent="0.25">
      <c r="C104" s="9" t="s">
        <v>240</v>
      </c>
      <c r="D104" s="7">
        <v>0</v>
      </c>
      <c r="E104" s="8">
        <v>682</v>
      </c>
      <c r="F104" s="8">
        <v>682</v>
      </c>
      <c r="G104" s="8">
        <v>0</v>
      </c>
      <c r="H104" s="8">
        <v>-682</v>
      </c>
    </row>
    <row r="105" spans="2:8" x14ac:dyDescent="0.25">
      <c r="B105" s="16" t="s">
        <v>250</v>
      </c>
      <c r="D105" s="7">
        <v>1310.85</v>
      </c>
      <c r="E105" s="8">
        <v>1127.72</v>
      </c>
      <c r="F105" s="8">
        <v>1127.72</v>
      </c>
      <c r="G105" s="8">
        <v>0</v>
      </c>
      <c r="H105" s="8">
        <v>183.12999999999988</v>
      </c>
    </row>
    <row r="106" spans="2:8" x14ac:dyDescent="0.25">
      <c r="C106" s="9" t="s">
        <v>116</v>
      </c>
      <c r="D106" s="7">
        <v>1310.85</v>
      </c>
      <c r="E106" s="8">
        <v>0</v>
      </c>
      <c r="F106" s="8">
        <v>0</v>
      </c>
      <c r="G106" s="8">
        <v>0</v>
      </c>
      <c r="H106" s="8">
        <v>1310.85</v>
      </c>
    </row>
    <row r="107" spans="2:8" x14ac:dyDescent="0.25">
      <c r="C107" s="9" t="s">
        <v>161</v>
      </c>
      <c r="D107" s="7">
        <v>0</v>
      </c>
      <c r="E107" s="8">
        <v>127.72</v>
      </c>
      <c r="F107" s="8">
        <v>127.72</v>
      </c>
      <c r="G107" s="8">
        <v>0</v>
      </c>
      <c r="H107" s="8">
        <v>-127.72</v>
      </c>
    </row>
    <row r="108" spans="2:8" x14ac:dyDescent="0.25">
      <c r="C108" s="9" t="s">
        <v>223</v>
      </c>
      <c r="D108" s="7">
        <v>0</v>
      </c>
      <c r="E108" s="8">
        <v>1000</v>
      </c>
      <c r="F108" s="8">
        <v>1000</v>
      </c>
      <c r="G108" s="8">
        <v>0</v>
      </c>
      <c r="H108" s="8">
        <v>-1000</v>
      </c>
    </row>
    <row r="109" spans="2:8" x14ac:dyDescent="0.25">
      <c r="B109" s="14" t="s">
        <v>253</v>
      </c>
      <c r="D109" s="7">
        <v>428744.13999999996</v>
      </c>
      <c r="E109" s="8">
        <v>423586.69</v>
      </c>
      <c r="F109" s="8">
        <v>423586.69</v>
      </c>
      <c r="G109" s="8">
        <v>0</v>
      </c>
      <c r="H109" s="8">
        <v>5157.45</v>
      </c>
    </row>
    <row r="110" spans="2:8" x14ac:dyDescent="0.25">
      <c r="B110" s="15" t="s">
        <v>255</v>
      </c>
      <c r="D110" s="7">
        <v>408210.72</v>
      </c>
      <c r="E110" s="8">
        <v>408210.72</v>
      </c>
      <c r="F110" s="8">
        <v>408210.72</v>
      </c>
      <c r="G110" s="8">
        <v>0</v>
      </c>
      <c r="H110" s="8">
        <v>0</v>
      </c>
    </row>
    <row r="111" spans="2:8" x14ac:dyDescent="0.25">
      <c r="B111" s="16" t="s">
        <v>257</v>
      </c>
      <c r="D111" s="7">
        <v>408210.72</v>
      </c>
      <c r="E111" s="8">
        <v>408210.72</v>
      </c>
      <c r="F111" s="8">
        <v>408210.72</v>
      </c>
      <c r="G111" s="8">
        <v>0</v>
      </c>
      <c r="H111" s="8">
        <v>0</v>
      </c>
    </row>
    <row r="112" spans="2:8" x14ac:dyDescent="0.25">
      <c r="C112" s="9" t="s">
        <v>116</v>
      </c>
      <c r="D112" s="7">
        <v>408210.72</v>
      </c>
      <c r="E112" s="8">
        <v>0</v>
      </c>
      <c r="F112" s="8">
        <v>0</v>
      </c>
      <c r="G112" s="8">
        <v>0</v>
      </c>
      <c r="H112" s="8">
        <v>408210.72</v>
      </c>
    </row>
    <row r="113" spans="2:8" x14ac:dyDescent="0.25">
      <c r="C113" s="9" t="s">
        <v>260</v>
      </c>
      <c r="D113" s="7">
        <v>0</v>
      </c>
      <c r="E113" s="8">
        <v>408210.72</v>
      </c>
      <c r="F113" s="8">
        <v>408210.72</v>
      </c>
      <c r="G113" s="8">
        <v>0</v>
      </c>
      <c r="H113" s="8">
        <v>-408210.72</v>
      </c>
    </row>
    <row r="114" spans="2:8" x14ac:dyDescent="0.25">
      <c r="B114" s="15" t="s">
        <v>262</v>
      </c>
      <c r="D114" s="7">
        <v>20533.419999999998</v>
      </c>
      <c r="E114" s="8">
        <v>15375.969999999998</v>
      </c>
      <c r="F114" s="8">
        <v>15375.969999999998</v>
      </c>
      <c r="G114" s="8">
        <v>0</v>
      </c>
      <c r="H114" s="8">
        <v>5157.45</v>
      </c>
    </row>
    <row r="115" spans="2:8" x14ac:dyDescent="0.25">
      <c r="B115" s="16" t="s">
        <v>264</v>
      </c>
      <c r="D115" s="7">
        <v>6231.7</v>
      </c>
      <c r="E115" s="8">
        <v>5883</v>
      </c>
      <c r="F115" s="8">
        <v>5883</v>
      </c>
      <c r="G115" s="8">
        <v>0</v>
      </c>
      <c r="H115" s="8">
        <v>348.69999999999982</v>
      </c>
    </row>
    <row r="116" spans="2:8" x14ac:dyDescent="0.25">
      <c r="C116" s="9" t="s">
        <v>116</v>
      </c>
      <c r="D116" s="7">
        <v>6231.7</v>
      </c>
      <c r="E116" s="8">
        <v>0</v>
      </c>
      <c r="F116" s="8">
        <v>0</v>
      </c>
      <c r="G116" s="8">
        <v>0</v>
      </c>
      <c r="H116" s="8">
        <v>6231.7</v>
      </c>
    </row>
    <row r="117" spans="2:8" x14ac:dyDescent="0.25">
      <c r="C117" s="9" t="s">
        <v>142</v>
      </c>
      <c r="D117" s="7">
        <v>0</v>
      </c>
      <c r="E117" s="8">
        <v>760</v>
      </c>
      <c r="F117" s="8">
        <v>760</v>
      </c>
      <c r="G117" s="8">
        <v>0</v>
      </c>
      <c r="H117" s="8">
        <v>-760</v>
      </c>
    </row>
    <row r="118" spans="2:8" x14ac:dyDescent="0.25">
      <c r="C118" s="9" t="s">
        <v>181</v>
      </c>
      <c r="D118" s="7">
        <v>0</v>
      </c>
      <c r="E118" s="8">
        <v>2211</v>
      </c>
      <c r="F118" s="8">
        <v>2211</v>
      </c>
      <c r="G118" s="8">
        <v>0</v>
      </c>
      <c r="H118" s="8">
        <v>-2211</v>
      </c>
    </row>
    <row r="119" spans="2:8" x14ac:dyDescent="0.25">
      <c r="C119" s="9" t="s">
        <v>184</v>
      </c>
      <c r="D119" s="7">
        <v>0</v>
      </c>
      <c r="E119" s="8">
        <v>2262</v>
      </c>
      <c r="F119" s="8">
        <v>2262</v>
      </c>
      <c r="G119" s="8">
        <v>0</v>
      </c>
      <c r="H119" s="8">
        <v>-2262</v>
      </c>
    </row>
    <row r="120" spans="2:8" x14ac:dyDescent="0.25">
      <c r="C120" s="9" t="s">
        <v>240</v>
      </c>
      <c r="D120" s="7">
        <v>0</v>
      </c>
      <c r="E120" s="8">
        <v>650</v>
      </c>
      <c r="F120" s="8">
        <v>650</v>
      </c>
      <c r="G120" s="8">
        <v>0</v>
      </c>
      <c r="H120" s="8">
        <v>-650</v>
      </c>
    </row>
    <row r="121" spans="2:8" x14ac:dyDescent="0.25">
      <c r="B121" s="16" t="s">
        <v>266</v>
      </c>
      <c r="D121" s="7">
        <v>2463.67</v>
      </c>
      <c r="E121" s="8">
        <v>2331.33</v>
      </c>
      <c r="F121" s="8">
        <v>2331.33</v>
      </c>
      <c r="G121" s="8">
        <v>0</v>
      </c>
      <c r="H121" s="8">
        <v>132.3400000000002</v>
      </c>
    </row>
    <row r="122" spans="2:8" x14ac:dyDescent="0.25">
      <c r="C122" s="9" t="s">
        <v>116</v>
      </c>
      <c r="D122" s="7">
        <v>2463.67</v>
      </c>
      <c r="E122" s="8">
        <v>0</v>
      </c>
      <c r="F122" s="8">
        <v>0</v>
      </c>
      <c r="G122" s="8">
        <v>0</v>
      </c>
      <c r="H122" s="8">
        <v>2463.67</v>
      </c>
    </row>
    <row r="123" spans="2:8" x14ac:dyDescent="0.25">
      <c r="C123" s="9" t="s">
        <v>166</v>
      </c>
      <c r="D123" s="7">
        <v>0</v>
      </c>
      <c r="E123" s="8">
        <v>654.83000000000004</v>
      </c>
      <c r="F123" s="8">
        <v>654.83000000000004</v>
      </c>
      <c r="G123" s="8">
        <v>0</v>
      </c>
      <c r="H123" s="8">
        <v>-654.83000000000004</v>
      </c>
    </row>
    <row r="124" spans="2:8" x14ac:dyDescent="0.25">
      <c r="C124" s="9" t="s">
        <v>142</v>
      </c>
      <c r="D124" s="7">
        <v>0</v>
      </c>
      <c r="E124" s="8">
        <v>281.8</v>
      </c>
      <c r="F124" s="8">
        <v>281.8</v>
      </c>
      <c r="G124" s="8">
        <v>0</v>
      </c>
      <c r="H124" s="8">
        <v>-281.8</v>
      </c>
    </row>
    <row r="125" spans="2:8" x14ac:dyDescent="0.25">
      <c r="C125" s="9" t="s">
        <v>184</v>
      </c>
      <c r="D125" s="7">
        <v>0</v>
      </c>
      <c r="E125" s="8">
        <v>1300</v>
      </c>
      <c r="F125" s="8">
        <v>1300</v>
      </c>
      <c r="G125" s="8">
        <v>0</v>
      </c>
      <c r="H125" s="8">
        <v>-1300</v>
      </c>
    </row>
    <row r="126" spans="2:8" x14ac:dyDescent="0.25">
      <c r="C126" s="9" t="s">
        <v>269</v>
      </c>
      <c r="D126" s="7">
        <v>0</v>
      </c>
      <c r="E126" s="8">
        <v>94.7</v>
      </c>
      <c r="F126" s="8">
        <v>94.7</v>
      </c>
      <c r="G126" s="8">
        <v>0</v>
      </c>
      <c r="H126" s="8">
        <v>-94.7</v>
      </c>
    </row>
    <row r="127" spans="2:8" x14ac:dyDescent="0.25">
      <c r="B127" s="16" t="s">
        <v>271</v>
      </c>
      <c r="D127" s="7">
        <v>3000</v>
      </c>
      <c r="E127" s="8">
        <v>1550.75</v>
      </c>
      <c r="F127" s="8">
        <v>1550.75</v>
      </c>
      <c r="G127" s="8">
        <v>0</v>
      </c>
      <c r="H127" s="8">
        <v>1449.25</v>
      </c>
    </row>
    <row r="128" spans="2:8" x14ac:dyDescent="0.25">
      <c r="C128" s="9" t="s">
        <v>116</v>
      </c>
      <c r="D128" s="7">
        <v>3000</v>
      </c>
      <c r="E128" s="8">
        <v>0</v>
      </c>
      <c r="F128" s="8">
        <v>0</v>
      </c>
      <c r="G128" s="8">
        <v>0</v>
      </c>
      <c r="H128" s="8">
        <v>3000</v>
      </c>
    </row>
    <row r="129" spans="2:8" x14ac:dyDescent="0.25">
      <c r="C129" s="9" t="s">
        <v>176</v>
      </c>
      <c r="D129" s="7">
        <v>0</v>
      </c>
      <c r="E129" s="8">
        <v>575.79</v>
      </c>
      <c r="F129" s="8">
        <v>575.79</v>
      </c>
      <c r="G129" s="8">
        <v>0</v>
      </c>
      <c r="H129" s="8">
        <v>-575.79</v>
      </c>
    </row>
    <row r="130" spans="2:8" x14ac:dyDescent="0.25">
      <c r="C130" s="9" t="s">
        <v>274</v>
      </c>
      <c r="D130" s="7">
        <v>0</v>
      </c>
      <c r="E130" s="8">
        <v>914.96</v>
      </c>
      <c r="F130" s="8">
        <v>914.96</v>
      </c>
      <c r="G130" s="8">
        <v>0</v>
      </c>
      <c r="H130" s="8">
        <v>-914.96</v>
      </c>
    </row>
    <row r="131" spans="2:8" x14ac:dyDescent="0.25">
      <c r="C131" s="9" t="s">
        <v>142</v>
      </c>
      <c r="D131" s="7">
        <v>0</v>
      </c>
      <c r="E131" s="8">
        <v>60</v>
      </c>
      <c r="F131" s="8">
        <v>60</v>
      </c>
      <c r="G131" s="8">
        <v>0</v>
      </c>
      <c r="H131" s="8">
        <v>-60</v>
      </c>
    </row>
    <row r="132" spans="2:8" x14ac:dyDescent="0.25">
      <c r="B132" s="16" t="s">
        <v>276</v>
      </c>
      <c r="D132" s="7">
        <v>8838.0499999999993</v>
      </c>
      <c r="E132" s="8">
        <v>5610.89</v>
      </c>
      <c r="F132" s="8">
        <v>5610.89</v>
      </c>
      <c r="G132" s="8">
        <v>0</v>
      </c>
      <c r="H132" s="8">
        <v>3227.1599999999989</v>
      </c>
    </row>
    <row r="133" spans="2:8" x14ac:dyDescent="0.25">
      <c r="C133" s="9" t="s">
        <v>116</v>
      </c>
      <c r="D133" s="7">
        <v>8838.0499999999993</v>
      </c>
      <c r="E133" s="8">
        <v>0</v>
      </c>
      <c r="F133" s="8">
        <v>0</v>
      </c>
      <c r="G133" s="8">
        <v>0</v>
      </c>
      <c r="H133" s="8">
        <v>8838.0499999999993</v>
      </c>
    </row>
    <row r="134" spans="2:8" x14ac:dyDescent="0.25">
      <c r="C134" s="9" t="s">
        <v>274</v>
      </c>
      <c r="D134" s="7">
        <v>0</v>
      </c>
      <c r="E134" s="8">
        <v>5610.89</v>
      </c>
      <c r="F134" s="8">
        <v>5610.89</v>
      </c>
      <c r="G134" s="8">
        <v>0</v>
      </c>
      <c r="H134" s="8">
        <v>-5610.89</v>
      </c>
    </row>
    <row r="135" spans="2:8" x14ac:dyDescent="0.25">
      <c r="B135" s="14" t="s">
        <v>279</v>
      </c>
      <c r="D135" s="7">
        <v>250132.81</v>
      </c>
      <c r="E135" s="8">
        <v>175505.24</v>
      </c>
      <c r="F135" s="8">
        <v>175505.24</v>
      </c>
      <c r="G135" s="8">
        <v>0</v>
      </c>
      <c r="H135" s="8">
        <v>74627.570000000007</v>
      </c>
    </row>
    <row r="136" spans="2:8" x14ac:dyDescent="0.25">
      <c r="B136" s="15" t="s">
        <v>281</v>
      </c>
      <c r="D136" s="7">
        <v>81068.22</v>
      </c>
      <c r="E136" s="8">
        <v>56895.409999999996</v>
      </c>
      <c r="F136" s="8">
        <v>56895.409999999996</v>
      </c>
      <c r="G136" s="8">
        <v>0</v>
      </c>
      <c r="H136" s="8">
        <v>24172.81</v>
      </c>
    </row>
    <row r="137" spans="2:8" x14ac:dyDescent="0.25">
      <c r="B137" s="16" t="s">
        <v>283</v>
      </c>
      <c r="D137" s="7">
        <v>1000</v>
      </c>
      <c r="E137" s="8">
        <v>0</v>
      </c>
      <c r="F137" s="8">
        <v>0</v>
      </c>
      <c r="G137" s="8">
        <v>0</v>
      </c>
      <c r="H137" s="8">
        <v>1000</v>
      </c>
    </row>
    <row r="138" spans="2:8" x14ac:dyDescent="0.25">
      <c r="C138" s="9" t="s">
        <v>116</v>
      </c>
      <c r="D138" s="7">
        <v>1000</v>
      </c>
      <c r="E138" s="8">
        <v>0</v>
      </c>
      <c r="F138" s="8">
        <v>0</v>
      </c>
      <c r="G138" s="8">
        <v>0</v>
      </c>
      <c r="H138" s="8">
        <v>1000</v>
      </c>
    </row>
    <row r="139" spans="2:8" x14ac:dyDescent="0.25">
      <c r="B139" s="16" t="s">
        <v>285</v>
      </c>
      <c r="D139" s="7">
        <v>13793.51</v>
      </c>
      <c r="E139" s="8">
        <v>13377.01</v>
      </c>
      <c r="F139" s="8">
        <v>13377.01</v>
      </c>
      <c r="G139" s="8">
        <v>0</v>
      </c>
      <c r="H139" s="8">
        <v>416.5</v>
      </c>
    </row>
    <row r="140" spans="2:8" x14ac:dyDescent="0.25">
      <c r="C140" s="9" t="s">
        <v>116</v>
      </c>
      <c r="D140" s="7">
        <v>13793.51</v>
      </c>
      <c r="E140" s="8">
        <v>0</v>
      </c>
      <c r="F140" s="8">
        <v>0</v>
      </c>
      <c r="G140" s="8">
        <v>0</v>
      </c>
      <c r="H140" s="8">
        <v>13793.51</v>
      </c>
    </row>
    <row r="141" spans="2:8" x14ac:dyDescent="0.25">
      <c r="C141" s="9" t="s">
        <v>166</v>
      </c>
      <c r="D141" s="7">
        <v>0</v>
      </c>
      <c r="E141" s="8">
        <v>13377.01</v>
      </c>
      <c r="F141" s="8">
        <v>13377.01</v>
      </c>
      <c r="G141" s="8">
        <v>0</v>
      </c>
      <c r="H141" s="8">
        <v>-13377.01</v>
      </c>
    </row>
    <row r="142" spans="2:8" x14ac:dyDescent="0.25">
      <c r="B142" s="16" t="s">
        <v>287</v>
      </c>
      <c r="D142" s="7">
        <v>2500</v>
      </c>
      <c r="E142" s="8">
        <v>1027.5899999999999</v>
      </c>
      <c r="F142" s="8">
        <v>1027.5899999999999</v>
      </c>
      <c r="G142" s="8">
        <v>0</v>
      </c>
      <c r="H142" s="8">
        <v>1472.41</v>
      </c>
    </row>
    <row r="143" spans="2:8" x14ac:dyDescent="0.25">
      <c r="C143" s="9" t="s">
        <v>116</v>
      </c>
      <c r="D143" s="7">
        <v>2500</v>
      </c>
      <c r="E143" s="8">
        <v>0</v>
      </c>
      <c r="F143" s="8">
        <v>0</v>
      </c>
      <c r="G143" s="8">
        <v>0</v>
      </c>
      <c r="H143" s="8">
        <v>2500</v>
      </c>
    </row>
    <row r="144" spans="2:8" x14ac:dyDescent="0.25">
      <c r="C144" s="9" t="s">
        <v>290</v>
      </c>
      <c r="D144" s="7">
        <v>0</v>
      </c>
      <c r="E144" s="8">
        <v>1027.5899999999999</v>
      </c>
      <c r="F144" s="8">
        <v>1027.5899999999999</v>
      </c>
      <c r="G144" s="8">
        <v>0</v>
      </c>
      <c r="H144" s="8">
        <v>-1027.5899999999999</v>
      </c>
    </row>
    <row r="145" spans="2:8" x14ac:dyDescent="0.25">
      <c r="B145" s="16" t="s">
        <v>292</v>
      </c>
      <c r="D145" s="7">
        <v>2000</v>
      </c>
      <c r="E145" s="8">
        <v>1972.6</v>
      </c>
      <c r="F145" s="8">
        <v>1972.6</v>
      </c>
      <c r="G145" s="8">
        <v>0</v>
      </c>
      <c r="H145" s="8">
        <v>27.400000000000091</v>
      </c>
    </row>
    <row r="146" spans="2:8" x14ac:dyDescent="0.25">
      <c r="C146" s="9" t="s">
        <v>116</v>
      </c>
      <c r="D146" s="7">
        <v>2000</v>
      </c>
      <c r="E146" s="8">
        <v>0</v>
      </c>
      <c r="F146" s="8">
        <v>0</v>
      </c>
      <c r="G146" s="8">
        <v>0</v>
      </c>
      <c r="H146" s="8">
        <v>2000</v>
      </c>
    </row>
    <row r="147" spans="2:8" x14ac:dyDescent="0.25">
      <c r="C147" s="9" t="s">
        <v>295</v>
      </c>
      <c r="D147" s="7">
        <v>0</v>
      </c>
      <c r="E147" s="8">
        <v>1972.6</v>
      </c>
      <c r="F147" s="8">
        <v>1972.6</v>
      </c>
      <c r="G147" s="8">
        <v>0</v>
      </c>
      <c r="H147" s="8">
        <v>-1972.6</v>
      </c>
    </row>
    <row r="148" spans="2:8" x14ac:dyDescent="0.25">
      <c r="B148" s="16" t="s">
        <v>297</v>
      </c>
      <c r="D148" s="7">
        <v>23000</v>
      </c>
      <c r="E148" s="8">
        <v>16628.740000000002</v>
      </c>
      <c r="F148" s="8">
        <v>16628.740000000002</v>
      </c>
      <c r="G148" s="8">
        <v>0</v>
      </c>
      <c r="H148" s="8">
        <v>6371.2599999999984</v>
      </c>
    </row>
    <row r="149" spans="2:8" x14ac:dyDescent="0.25">
      <c r="C149" s="9" t="s">
        <v>116</v>
      </c>
      <c r="D149" s="7">
        <v>23000</v>
      </c>
      <c r="E149" s="8">
        <v>0</v>
      </c>
      <c r="F149" s="8">
        <v>0</v>
      </c>
      <c r="G149" s="8">
        <v>0</v>
      </c>
      <c r="H149" s="8">
        <v>23000</v>
      </c>
    </row>
    <row r="150" spans="2:8" x14ac:dyDescent="0.25">
      <c r="C150" s="9" t="s">
        <v>290</v>
      </c>
      <c r="D150" s="7">
        <v>0</v>
      </c>
      <c r="E150" s="8">
        <v>16628.740000000002</v>
      </c>
      <c r="F150" s="8">
        <v>16628.740000000002</v>
      </c>
      <c r="G150" s="8">
        <v>0</v>
      </c>
      <c r="H150" s="8">
        <v>-16628.740000000002</v>
      </c>
    </row>
    <row r="151" spans="2:8" x14ac:dyDescent="0.25">
      <c r="B151" s="16" t="s">
        <v>299</v>
      </c>
      <c r="D151" s="7">
        <v>698</v>
      </c>
      <c r="E151" s="8">
        <v>8</v>
      </c>
      <c r="F151" s="8">
        <v>8</v>
      </c>
      <c r="G151" s="8">
        <v>0</v>
      </c>
      <c r="H151" s="8">
        <v>690</v>
      </c>
    </row>
    <row r="152" spans="2:8" x14ac:dyDescent="0.25">
      <c r="C152" s="9" t="s">
        <v>116</v>
      </c>
      <c r="D152" s="7">
        <v>698</v>
      </c>
      <c r="E152" s="8">
        <v>0</v>
      </c>
      <c r="F152" s="8">
        <v>0</v>
      </c>
      <c r="G152" s="8">
        <v>0</v>
      </c>
      <c r="H152" s="8">
        <v>698</v>
      </c>
    </row>
    <row r="153" spans="2:8" x14ac:dyDescent="0.25">
      <c r="C153" s="9" t="s">
        <v>302</v>
      </c>
      <c r="D153" s="7">
        <v>0</v>
      </c>
      <c r="E153" s="8">
        <v>8</v>
      </c>
      <c r="F153" s="8">
        <v>8</v>
      </c>
      <c r="G153" s="8">
        <v>0</v>
      </c>
      <c r="H153" s="8">
        <v>-8</v>
      </c>
    </row>
    <row r="154" spans="2:8" x14ac:dyDescent="0.25">
      <c r="B154" s="16" t="s">
        <v>304</v>
      </c>
      <c r="D154" s="7">
        <v>711.45</v>
      </c>
      <c r="E154" s="8">
        <v>711.45</v>
      </c>
      <c r="F154" s="8">
        <v>711.45</v>
      </c>
      <c r="G154" s="8">
        <v>0</v>
      </c>
      <c r="H154" s="8">
        <v>0</v>
      </c>
    </row>
    <row r="155" spans="2:8" x14ac:dyDescent="0.25">
      <c r="C155" s="9" t="s">
        <v>116</v>
      </c>
      <c r="D155" s="7">
        <v>711.45</v>
      </c>
      <c r="E155" s="8">
        <v>0</v>
      </c>
      <c r="F155" s="8">
        <v>0</v>
      </c>
      <c r="G155" s="8">
        <v>0</v>
      </c>
      <c r="H155" s="8">
        <v>711.45</v>
      </c>
    </row>
    <row r="156" spans="2:8" x14ac:dyDescent="0.25">
      <c r="C156" s="9" t="s">
        <v>307</v>
      </c>
      <c r="D156" s="7">
        <v>0</v>
      </c>
      <c r="E156" s="8">
        <v>711.45</v>
      </c>
      <c r="F156" s="8">
        <v>711.45</v>
      </c>
      <c r="G156" s="8">
        <v>0</v>
      </c>
      <c r="H156" s="8">
        <v>-711.45</v>
      </c>
    </row>
    <row r="157" spans="2:8" x14ac:dyDescent="0.25">
      <c r="B157" s="16" t="s">
        <v>309</v>
      </c>
      <c r="D157" s="7">
        <v>7551.6</v>
      </c>
      <c r="E157" s="8">
        <v>629.29999999999995</v>
      </c>
      <c r="F157" s="8">
        <v>629.29999999999995</v>
      </c>
      <c r="G157" s="8">
        <v>0</v>
      </c>
      <c r="H157" s="8">
        <v>6922.3</v>
      </c>
    </row>
    <row r="158" spans="2:8" x14ac:dyDescent="0.25">
      <c r="C158" s="9" t="s">
        <v>116</v>
      </c>
      <c r="D158" s="7">
        <v>7551.6</v>
      </c>
      <c r="E158" s="8">
        <v>0</v>
      </c>
      <c r="F158" s="8">
        <v>0</v>
      </c>
      <c r="G158" s="8">
        <v>0</v>
      </c>
      <c r="H158" s="8">
        <v>7551.6</v>
      </c>
    </row>
    <row r="159" spans="2:8" x14ac:dyDescent="0.25">
      <c r="C159" s="9" t="s">
        <v>290</v>
      </c>
      <c r="D159" s="7">
        <v>0</v>
      </c>
      <c r="E159" s="8">
        <v>629.29999999999995</v>
      </c>
      <c r="F159" s="8">
        <v>629.29999999999995</v>
      </c>
      <c r="G159" s="8">
        <v>0</v>
      </c>
      <c r="H159" s="8">
        <v>-629.29999999999995</v>
      </c>
    </row>
    <row r="160" spans="2:8" x14ac:dyDescent="0.25">
      <c r="B160" s="16" t="s">
        <v>311</v>
      </c>
      <c r="D160" s="7">
        <v>1000</v>
      </c>
      <c r="E160" s="8">
        <v>100</v>
      </c>
      <c r="F160" s="8">
        <v>100</v>
      </c>
      <c r="G160" s="8">
        <v>0</v>
      </c>
      <c r="H160" s="8">
        <v>900</v>
      </c>
    </row>
    <row r="161" spans="2:8" x14ac:dyDescent="0.25">
      <c r="C161" s="9" t="s">
        <v>116</v>
      </c>
      <c r="D161" s="7">
        <v>1000</v>
      </c>
      <c r="E161" s="8">
        <v>0</v>
      </c>
      <c r="F161" s="8">
        <v>0</v>
      </c>
      <c r="G161" s="8">
        <v>0</v>
      </c>
      <c r="H161" s="8">
        <v>1000</v>
      </c>
    </row>
    <row r="162" spans="2:8" x14ac:dyDescent="0.25">
      <c r="C162" s="9" t="s">
        <v>314</v>
      </c>
      <c r="D162" s="7">
        <v>0</v>
      </c>
      <c r="E162" s="8">
        <v>100</v>
      </c>
      <c r="F162" s="8">
        <v>100</v>
      </c>
      <c r="G162" s="8">
        <v>0</v>
      </c>
      <c r="H162" s="8">
        <v>-100</v>
      </c>
    </row>
    <row r="163" spans="2:8" x14ac:dyDescent="0.25">
      <c r="B163" s="16" t="s">
        <v>316</v>
      </c>
      <c r="D163" s="7">
        <v>8000</v>
      </c>
      <c r="E163" s="8">
        <v>6705.1500000000005</v>
      </c>
      <c r="F163" s="8">
        <v>6705.1500000000005</v>
      </c>
      <c r="G163" s="8">
        <v>0</v>
      </c>
      <c r="H163" s="8">
        <v>1294.8499999999995</v>
      </c>
    </row>
    <row r="164" spans="2:8" x14ac:dyDescent="0.25">
      <c r="C164" s="9" t="s">
        <v>116</v>
      </c>
      <c r="D164" s="7">
        <v>8000</v>
      </c>
      <c r="E164" s="8">
        <v>0</v>
      </c>
      <c r="F164" s="8">
        <v>0</v>
      </c>
      <c r="G164" s="8">
        <v>0</v>
      </c>
      <c r="H164" s="8">
        <v>8000</v>
      </c>
    </row>
    <row r="165" spans="2:8" x14ac:dyDescent="0.25">
      <c r="C165" s="9" t="s">
        <v>166</v>
      </c>
      <c r="D165" s="7">
        <v>0</v>
      </c>
      <c r="E165" s="8">
        <v>1339.68</v>
      </c>
      <c r="F165" s="8">
        <v>1339.68</v>
      </c>
      <c r="G165" s="8">
        <v>0</v>
      </c>
      <c r="H165" s="8">
        <v>-1339.68</v>
      </c>
    </row>
    <row r="166" spans="2:8" x14ac:dyDescent="0.25">
      <c r="C166" s="9" t="s">
        <v>147</v>
      </c>
      <c r="D166" s="7">
        <v>0</v>
      </c>
      <c r="E166" s="8">
        <v>5365.47</v>
      </c>
      <c r="F166" s="8">
        <v>5365.47</v>
      </c>
      <c r="G166" s="8">
        <v>0</v>
      </c>
      <c r="H166" s="8">
        <v>-5365.47</v>
      </c>
    </row>
    <row r="167" spans="2:8" x14ac:dyDescent="0.25">
      <c r="B167" s="16" t="s">
        <v>318</v>
      </c>
      <c r="D167" s="7">
        <v>1000</v>
      </c>
      <c r="E167" s="8">
        <v>825.21</v>
      </c>
      <c r="F167" s="8">
        <v>825.21</v>
      </c>
      <c r="G167" s="8">
        <v>0</v>
      </c>
      <c r="H167" s="8">
        <v>174.78999999999996</v>
      </c>
    </row>
    <row r="168" spans="2:8" x14ac:dyDescent="0.25">
      <c r="C168" s="9" t="s">
        <v>116</v>
      </c>
      <c r="D168" s="7">
        <v>1000</v>
      </c>
      <c r="E168" s="8">
        <v>0</v>
      </c>
      <c r="F168" s="8">
        <v>0</v>
      </c>
      <c r="G168" s="8">
        <v>0</v>
      </c>
      <c r="H168" s="8">
        <v>1000</v>
      </c>
    </row>
    <row r="169" spans="2:8" x14ac:dyDescent="0.25">
      <c r="C169" s="9" t="s">
        <v>321</v>
      </c>
      <c r="D169" s="7">
        <v>0</v>
      </c>
      <c r="E169" s="8">
        <v>825.21</v>
      </c>
      <c r="F169" s="8">
        <v>825.21</v>
      </c>
      <c r="G169" s="8">
        <v>0</v>
      </c>
      <c r="H169" s="8">
        <v>-825.21</v>
      </c>
    </row>
    <row r="170" spans="2:8" x14ac:dyDescent="0.25">
      <c r="B170" s="16" t="s">
        <v>323</v>
      </c>
      <c r="D170" s="7">
        <v>1000</v>
      </c>
      <c r="E170" s="8">
        <v>800</v>
      </c>
      <c r="F170" s="8">
        <v>800</v>
      </c>
      <c r="G170" s="8">
        <v>0</v>
      </c>
      <c r="H170" s="8">
        <v>200</v>
      </c>
    </row>
    <row r="171" spans="2:8" x14ac:dyDescent="0.25">
      <c r="C171" s="9" t="s">
        <v>116</v>
      </c>
      <c r="D171" s="7">
        <v>1000</v>
      </c>
      <c r="E171" s="8">
        <v>0</v>
      </c>
      <c r="F171" s="8">
        <v>0</v>
      </c>
      <c r="G171" s="8">
        <v>0</v>
      </c>
      <c r="H171" s="8">
        <v>1000</v>
      </c>
    </row>
    <row r="172" spans="2:8" x14ac:dyDescent="0.25">
      <c r="C172" s="9" t="s">
        <v>314</v>
      </c>
      <c r="D172" s="7">
        <v>0</v>
      </c>
      <c r="E172" s="8">
        <v>800</v>
      </c>
      <c r="F172" s="8">
        <v>800</v>
      </c>
      <c r="G172" s="8">
        <v>0</v>
      </c>
      <c r="H172" s="8">
        <v>-800</v>
      </c>
    </row>
    <row r="173" spans="2:8" x14ac:dyDescent="0.25">
      <c r="B173" s="16" t="s">
        <v>325</v>
      </c>
      <c r="D173" s="7">
        <v>600</v>
      </c>
      <c r="E173" s="8">
        <v>1475.6999999999998</v>
      </c>
      <c r="F173" s="8">
        <v>1475.6999999999998</v>
      </c>
      <c r="G173" s="8">
        <v>0</v>
      </c>
      <c r="H173" s="8">
        <v>-875.69999999999993</v>
      </c>
    </row>
    <row r="174" spans="2:8" x14ac:dyDescent="0.25">
      <c r="C174" s="9" t="s">
        <v>116</v>
      </c>
      <c r="D174" s="7">
        <v>600</v>
      </c>
      <c r="E174" s="8">
        <v>0</v>
      </c>
      <c r="F174" s="8">
        <v>0</v>
      </c>
      <c r="G174" s="8">
        <v>0</v>
      </c>
      <c r="H174" s="8">
        <v>600</v>
      </c>
    </row>
    <row r="175" spans="2:8" x14ac:dyDescent="0.25">
      <c r="C175" s="9" t="s">
        <v>166</v>
      </c>
      <c r="D175" s="7">
        <v>0</v>
      </c>
      <c r="E175" s="8">
        <v>1367.1</v>
      </c>
      <c r="F175" s="8">
        <v>1367.1</v>
      </c>
      <c r="G175" s="8">
        <v>0</v>
      </c>
      <c r="H175" s="8">
        <v>-1367.1</v>
      </c>
    </row>
    <row r="176" spans="2:8" x14ac:dyDescent="0.25">
      <c r="C176" s="9" t="s">
        <v>169</v>
      </c>
      <c r="D176" s="7">
        <v>0</v>
      </c>
      <c r="E176" s="8">
        <v>108.6</v>
      </c>
      <c r="F176" s="8">
        <v>108.6</v>
      </c>
      <c r="G176" s="8">
        <v>0</v>
      </c>
      <c r="H176" s="8">
        <v>-108.6</v>
      </c>
    </row>
    <row r="177" spans="2:8" x14ac:dyDescent="0.25">
      <c r="B177" s="16" t="s">
        <v>327</v>
      </c>
      <c r="D177" s="7">
        <v>800</v>
      </c>
      <c r="E177" s="8">
        <v>748</v>
      </c>
      <c r="F177" s="8">
        <v>748</v>
      </c>
      <c r="G177" s="8">
        <v>0</v>
      </c>
      <c r="H177" s="8">
        <v>52</v>
      </c>
    </row>
    <row r="178" spans="2:8" x14ac:dyDescent="0.25">
      <c r="C178" s="9" t="s">
        <v>116</v>
      </c>
      <c r="D178" s="7">
        <v>800</v>
      </c>
      <c r="E178" s="8">
        <v>0</v>
      </c>
      <c r="F178" s="8">
        <v>0</v>
      </c>
      <c r="G178" s="8">
        <v>0</v>
      </c>
      <c r="H178" s="8">
        <v>800</v>
      </c>
    </row>
    <row r="179" spans="2:8" x14ac:dyDescent="0.25">
      <c r="C179" s="9" t="s">
        <v>330</v>
      </c>
      <c r="D179" s="7">
        <v>0</v>
      </c>
      <c r="E179" s="8">
        <v>748</v>
      </c>
      <c r="F179" s="8">
        <v>748</v>
      </c>
      <c r="G179" s="8">
        <v>0</v>
      </c>
      <c r="H179" s="8">
        <v>-748</v>
      </c>
    </row>
    <row r="180" spans="2:8" x14ac:dyDescent="0.25">
      <c r="B180" s="16" t="s">
        <v>332</v>
      </c>
      <c r="D180" s="7">
        <v>50</v>
      </c>
      <c r="E180" s="8">
        <v>0</v>
      </c>
      <c r="F180" s="8">
        <v>0</v>
      </c>
      <c r="G180" s="8">
        <v>0</v>
      </c>
      <c r="H180" s="8">
        <v>50</v>
      </c>
    </row>
    <row r="181" spans="2:8" x14ac:dyDescent="0.25">
      <c r="C181" s="9" t="s">
        <v>116</v>
      </c>
      <c r="D181" s="7">
        <v>50</v>
      </c>
      <c r="E181" s="8">
        <v>0</v>
      </c>
      <c r="F181" s="8">
        <v>0</v>
      </c>
      <c r="G181" s="8">
        <v>0</v>
      </c>
      <c r="H181" s="8">
        <v>50</v>
      </c>
    </row>
    <row r="182" spans="2:8" x14ac:dyDescent="0.25">
      <c r="B182" s="16" t="s">
        <v>334</v>
      </c>
      <c r="D182" s="7">
        <v>4500</v>
      </c>
      <c r="E182" s="8">
        <v>4161.1400000000003</v>
      </c>
      <c r="F182" s="8">
        <v>4161.1400000000003</v>
      </c>
      <c r="G182" s="8">
        <v>0</v>
      </c>
      <c r="H182" s="8">
        <v>338.86000000000013</v>
      </c>
    </row>
    <row r="183" spans="2:8" x14ac:dyDescent="0.25">
      <c r="C183" s="9" t="s">
        <v>116</v>
      </c>
      <c r="D183" s="7">
        <v>4500</v>
      </c>
      <c r="E183" s="8">
        <v>0</v>
      </c>
      <c r="F183" s="8">
        <v>0</v>
      </c>
      <c r="G183" s="8">
        <v>0</v>
      </c>
      <c r="H183" s="8">
        <v>4500</v>
      </c>
    </row>
    <row r="184" spans="2:8" x14ac:dyDescent="0.25">
      <c r="C184" s="9" t="s">
        <v>205</v>
      </c>
      <c r="D184" s="7">
        <v>0</v>
      </c>
      <c r="E184" s="8">
        <v>232.54</v>
      </c>
      <c r="F184" s="8">
        <v>232.54</v>
      </c>
      <c r="G184" s="8">
        <v>0</v>
      </c>
      <c r="H184" s="8">
        <v>-232.54</v>
      </c>
    </row>
    <row r="185" spans="2:8" x14ac:dyDescent="0.25">
      <c r="C185" s="9" t="s">
        <v>269</v>
      </c>
      <c r="D185" s="7">
        <v>0</v>
      </c>
      <c r="E185" s="8">
        <v>3928.6</v>
      </c>
      <c r="F185" s="8">
        <v>3928.6</v>
      </c>
      <c r="G185" s="8">
        <v>0</v>
      </c>
      <c r="H185" s="8">
        <v>-3928.6</v>
      </c>
    </row>
    <row r="186" spans="2:8" x14ac:dyDescent="0.25">
      <c r="B186" s="16" t="s">
        <v>336</v>
      </c>
      <c r="D186" s="7">
        <v>200</v>
      </c>
      <c r="E186" s="8">
        <v>172.49</v>
      </c>
      <c r="F186" s="8">
        <v>172.49</v>
      </c>
      <c r="G186" s="8">
        <v>0</v>
      </c>
      <c r="H186" s="8">
        <v>27.509999999999991</v>
      </c>
    </row>
    <row r="187" spans="2:8" x14ac:dyDescent="0.25">
      <c r="C187" s="9" t="s">
        <v>116</v>
      </c>
      <c r="D187" s="7">
        <v>200</v>
      </c>
      <c r="E187" s="8">
        <v>0</v>
      </c>
      <c r="F187" s="8">
        <v>0</v>
      </c>
      <c r="G187" s="8">
        <v>0</v>
      </c>
      <c r="H187" s="8">
        <v>200</v>
      </c>
    </row>
    <row r="188" spans="2:8" x14ac:dyDescent="0.25">
      <c r="C188" s="9" t="s">
        <v>339</v>
      </c>
      <c r="D188" s="7">
        <v>0</v>
      </c>
      <c r="E188" s="8">
        <v>172.49</v>
      </c>
      <c r="F188" s="8">
        <v>172.49</v>
      </c>
      <c r="G188" s="8">
        <v>0</v>
      </c>
      <c r="H188" s="8">
        <v>-172.49</v>
      </c>
    </row>
    <row r="189" spans="2:8" x14ac:dyDescent="0.25">
      <c r="B189" s="16" t="s">
        <v>341</v>
      </c>
      <c r="D189" s="7">
        <v>12663.66</v>
      </c>
      <c r="E189" s="8">
        <v>7553.03</v>
      </c>
      <c r="F189" s="8">
        <v>7553.03</v>
      </c>
      <c r="G189" s="8">
        <v>0</v>
      </c>
      <c r="H189" s="8">
        <v>5110.63</v>
      </c>
    </row>
    <row r="190" spans="2:8" x14ac:dyDescent="0.25">
      <c r="C190" s="9" t="s">
        <v>116</v>
      </c>
      <c r="D190" s="7">
        <v>12663.66</v>
      </c>
      <c r="E190" s="8">
        <v>0</v>
      </c>
      <c r="F190" s="8">
        <v>0</v>
      </c>
      <c r="G190" s="8">
        <v>0</v>
      </c>
      <c r="H190" s="8">
        <v>12663.66</v>
      </c>
    </row>
    <row r="191" spans="2:8" x14ac:dyDescent="0.25">
      <c r="C191" s="9" t="s">
        <v>166</v>
      </c>
      <c r="D191" s="7">
        <v>0</v>
      </c>
      <c r="E191" s="8">
        <v>7553.03</v>
      </c>
      <c r="F191" s="8">
        <v>7553.03</v>
      </c>
      <c r="G191" s="8">
        <v>0</v>
      </c>
      <c r="H191" s="8">
        <v>-7553.03</v>
      </c>
    </row>
    <row r="192" spans="2:8" x14ac:dyDescent="0.25">
      <c r="B192" s="15" t="s">
        <v>376</v>
      </c>
      <c r="D192" s="7">
        <v>8380.02</v>
      </c>
      <c r="E192" s="8">
        <v>7510.58</v>
      </c>
      <c r="F192" s="8">
        <v>7510.58</v>
      </c>
      <c r="G192" s="8">
        <v>0</v>
      </c>
      <c r="H192" s="8">
        <v>869.44000000000051</v>
      </c>
    </row>
    <row r="193" spans="2:8" x14ac:dyDescent="0.25">
      <c r="B193" s="16" t="s">
        <v>378</v>
      </c>
      <c r="D193" s="7">
        <v>8380.02</v>
      </c>
      <c r="E193" s="8">
        <v>7510.58</v>
      </c>
      <c r="F193" s="8">
        <v>7510.58</v>
      </c>
      <c r="G193" s="8">
        <v>0</v>
      </c>
      <c r="H193" s="8">
        <v>869.44000000000051</v>
      </c>
    </row>
    <row r="194" spans="2:8" x14ac:dyDescent="0.25">
      <c r="B194" s="15" t="s">
        <v>343</v>
      </c>
      <c r="D194" s="7">
        <v>2802.53</v>
      </c>
      <c r="E194" s="8">
        <v>0</v>
      </c>
      <c r="F194" s="8">
        <v>0</v>
      </c>
      <c r="G194" s="8">
        <v>0</v>
      </c>
      <c r="H194" s="8">
        <v>2802.53</v>
      </c>
    </row>
    <row r="195" spans="2:8" x14ac:dyDescent="0.25">
      <c r="B195" s="16" t="s">
        <v>345</v>
      </c>
      <c r="D195" s="7">
        <v>2802.53</v>
      </c>
      <c r="E195" s="8">
        <v>0</v>
      </c>
      <c r="F195" s="8">
        <v>0</v>
      </c>
      <c r="G195" s="8">
        <v>0</v>
      </c>
      <c r="H195" s="8">
        <v>2802.53</v>
      </c>
    </row>
    <row r="196" spans="2:8" x14ac:dyDescent="0.25">
      <c r="C196" s="9" t="s">
        <v>116</v>
      </c>
      <c r="D196" s="7">
        <v>2802.53</v>
      </c>
      <c r="E196" s="8">
        <v>0</v>
      </c>
      <c r="F196" s="8">
        <v>0</v>
      </c>
      <c r="G196" s="8">
        <v>0</v>
      </c>
      <c r="H196" s="8">
        <v>2802.53</v>
      </c>
    </row>
    <row r="197" spans="2:8" x14ac:dyDescent="0.25">
      <c r="B197" s="15" t="s">
        <v>347</v>
      </c>
      <c r="D197" s="7">
        <v>51965.04</v>
      </c>
      <c r="E197" s="8">
        <v>26688.75</v>
      </c>
      <c r="F197" s="8">
        <v>26688.75</v>
      </c>
      <c r="G197" s="8">
        <v>0</v>
      </c>
      <c r="H197" s="8">
        <v>25276.29</v>
      </c>
    </row>
    <row r="198" spans="2:8" x14ac:dyDescent="0.25">
      <c r="B198" s="16" t="s">
        <v>349</v>
      </c>
      <c r="D198" s="7">
        <v>6812</v>
      </c>
      <c r="E198" s="8">
        <v>5689.07</v>
      </c>
      <c r="F198" s="8">
        <v>5689.07</v>
      </c>
      <c r="G198" s="8">
        <v>0</v>
      </c>
      <c r="H198" s="8">
        <v>1122.9299999999994</v>
      </c>
    </row>
    <row r="199" spans="2:8" x14ac:dyDescent="0.25">
      <c r="C199" s="9" t="s">
        <v>116</v>
      </c>
      <c r="D199" s="7">
        <v>6812</v>
      </c>
      <c r="E199" s="8">
        <v>0</v>
      </c>
      <c r="F199" s="8">
        <v>0</v>
      </c>
      <c r="G199" s="8">
        <v>0</v>
      </c>
      <c r="H199" s="8">
        <v>6812</v>
      </c>
    </row>
    <row r="200" spans="2:8" x14ac:dyDescent="0.25">
      <c r="C200" s="9" t="s">
        <v>166</v>
      </c>
      <c r="D200" s="7">
        <v>0</v>
      </c>
      <c r="E200" s="8">
        <v>2037.19</v>
      </c>
      <c r="F200" s="8">
        <v>2037.19</v>
      </c>
      <c r="G200" s="8">
        <v>0</v>
      </c>
      <c r="H200" s="8">
        <v>-2037.19</v>
      </c>
    </row>
    <row r="201" spans="2:8" x14ac:dyDescent="0.25">
      <c r="C201" s="9" t="s">
        <v>358</v>
      </c>
      <c r="D201" s="7">
        <v>0</v>
      </c>
      <c r="E201" s="8">
        <v>1383.44</v>
      </c>
      <c r="F201" s="8">
        <v>1383.44</v>
      </c>
      <c r="G201" s="8">
        <v>0</v>
      </c>
      <c r="H201" s="8">
        <v>-1383.44</v>
      </c>
    </row>
    <row r="202" spans="2:8" x14ac:dyDescent="0.25">
      <c r="C202" s="9" t="s">
        <v>223</v>
      </c>
      <c r="D202" s="7">
        <v>0</v>
      </c>
      <c r="E202" s="8">
        <v>412.3</v>
      </c>
      <c r="F202" s="8">
        <v>412.3</v>
      </c>
      <c r="G202" s="8">
        <v>0</v>
      </c>
      <c r="H202" s="8">
        <v>-412.3</v>
      </c>
    </row>
    <row r="203" spans="2:8" x14ac:dyDescent="0.25">
      <c r="C203" s="9" t="s">
        <v>352</v>
      </c>
      <c r="D203" s="7">
        <v>0</v>
      </c>
      <c r="E203" s="8">
        <v>235.1</v>
      </c>
      <c r="F203" s="8">
        <v>235.1</v>
      </c>
      <c r="G203" s="8">
        <v>0</v>
      </c>
      <c r="H203" s="8">
        <v>-235.1</v>
      </c>
    </row>
    <row r="204" spans="2:8" x14ac:dyDescent="0.25">
      <c r="C204" s="9" t="s">
        <v>355</v>
      </c>
      <c r="D204" s="7">
        <v>0</v>
      </c>
      <c r="E204" s="8">
        <v>1621.04</v>
      </c>
      <c r="F204" s="8">
        <v>1621.04</v>
      </c>
      <c r="G204" s="8">
        <v>0</v>
      </c>
      <c r="H204" s="8">
        <v>-1621.04</v>
      </c>
    </row>
    <row r="205" spans="2:8" x14ac:dyDescent="0.25">
      <c r="B205" s="16" t="s">
        <v>360</v>
      </c>
      <c r="D205" s="7">
        <v>24394.49</v>
      </c>
      <c r="E205" s="8">
        <v>7282.46</v>
      </c>
      <c r="F205" s="8">
        <v>7282.46</v>
      </c>
      <c r="G205" s="8">
        <v>0</v>
      </c>
      <c r="H205" s="8">
        <v>17112.030000000002</v>
      </c>
    </row>
    <row r="206" spans="2:8" x14ac:dyDescent="0.25">
      <c r="C206" s="9" t="s">
        <v>116</v>
      </c>
      <c r="D206" s="7">
        <v>24394.49</v>
      </c>
      <c r="E206" s="8">
        <v>0</v>
      </c>
      <c r="F206" s="8">
        <v>0</v>
      </c>
      <c r="G206" s="8">
        <v>0</v>
      </c>
      <c r="H206" s="8">
        <v>24394.49</v>
      </c>
    </row>
    <row r="207" spans="2:8" x14ac:dyDescent="0.25">
      <c r="C207" s="9" t="s">
        <v>166</v>
      </c>
      <c r="D207" s="7">
        <v>0</v>
      </c>
      <c r="E207" s="8">
        <v>1014.75</v>
      </c>
      <c r="F207" s="8">
        <v>1014.75</v>
      </c>
      <c r="G207" s="8">
        <v>0</v>
      </c>
      <c r="H207" s="8">
        <v>-1014.75</v>
      </c>
    </row>
    <row r="208" spans="2:8" x14ac:dyDescent="0.25">
      <c r="C208" s="9" t="s">
        <v>358</v>
      </c>
      <c r="D208" s="7">
        <v>0</v>
      </c>
      <c r="E208" s="8">
        <v>5468.07</v>
      </c>
      <c r="F208" s="8">
        <v>5468.07</v>
      </c>
      <c r="G208" s="8">
        <v>0</v>
      </c>
      <c r="H208" s="8">
        <v>-5468.07</v>
      </c>
    </row>
    <row r="209" spans="2:8" x14ac:dyDescent="0.25">
      <c r="C209" s="9" t="s">
        <v>223</v>
      </c>
      <c r="D209" s="7">
        <v>0</v>
      </c>
      <c r="E209" s="8">
        <v>799.64</v>
      </c>
      <c r="F209" s="8">
        <v>799.64</v>
      </c>
      <c r="G209" s="8">
        <v>0</v>
      </c>
      <c r="H209" s="8">
        <v>-799.64</v>
      </c>
    </row>
    <row r="210" spans="2:8" x14ac:dyDescent="0.25">
      <c r="B210" s="16" t="s">
        <v>362</v>
      </c>
      <c r="D210" s="7">
        <v>4408.55</v>
      </c>
      <c r="E210" s="8">
        <v>4005.59</v>
      </c>
      <c r="F210" s="8">
        <v>4005.59</v>
      </c>
      <c r="G210" s="8">
        <v>0</v>
      </c>
      <c r="H210" s="8">
        <v>402.96000000000004</v>
      </c>
    </row>
    <row r="211" spans="2:8" x14ac:dyDescent="0.25">
      <c r="C211" s="9" t="s">
        <v>116</v>
      </c>
      <c r="D211" s="7">
        <v>4408.55</v>
      </c>
      <c r="E211" s="8">
        <v>0</v>
      </c>
      <c r="F211" s="8">
        <v>0</v>
      </c>
      <c r="G211" s="8">
        <v>0</v>
      </c>
      <c r="H211" s="8">
        <v>4408.55</v>
      </c>
    </row>
    <row r="212" spans="2:8" x14ac:dyDescent="0.25">
      <c r="C212" s="9" t="s">
        <v>358</v>
      </c>
      <c r="D212" s="7">
        <v>0</v>
      </c>
      <c r="E212" s="8">
        <v>1182.29</v>
      </c>
      <c r="F212" s="8">
        <v>1182.29</v>
      </c>
      <c r="G212" s="8">
        <v>0</v>
      </c>
      <c r="H212" s="8">
        <v>-1182.29</v>
      </c>
    </row>
    <row r="213" spans="2:8" x14ac:dyDescent="0.25">
      <c r="C213" s="9" t="s">
        <v>365</v>
      </c>
      <c r="D213" s="7">
        <v>0</v>
      </c>
      <c r="E213" s="8">
        <v>2823.3</v>
      </c>
      <c r="F213" s="8">
        <v>2823.3</v>
      </c>
      <c r="G213" s="8">
        <v>0</v>
      </c>
      <c r="H213" s="8">
        <v>-2823.3</v>
      </c>
    </row>
    <row r="214" spans="2:8" x14ac:dyDescent="0.25">
      <c r="B214" s="16" t="s">
        <v>367</v>
      </c>
      <c r="D214" s="7">
        <v>350</v>
      </c>
      <c r="E214" s="8">
        <v>162.75</v>
      </c>
      <c r="F214" s="8">
        <v>162.75</v>
      </c>
      <c r="G214" s="8">
        <v>0</v>
      </c>
      <c r="H214" s="8">
        <v>187.25</v>
      </c>
    </row>
    <row r="215" spans="2:8" x14ac:dyDescent="0.25">
      <c r="C215" s="9" t="s">
        <v>116</v>
      </c>
      <c r="D215" s="7">
        <v>350</v>
      </c>
      <c r="E215" s="8">
        <v>0</v>
      </c>
      <c r="F215" s="8">
        <v>0</v>
      </c>
      <c r="G215" s="8">
        <v>0</v>
      </c>
      <c r="H215" s="8">
        <v>350</v>
      </c>
    </row>
    <row r="216" spans="2:8" x14ac:dyDescent="0.25">
      <c r="C216" s="9" t="s">
        <v>358</v>
      </c>
      <c r="D216" s="7">
        <v>0</v>
      </c>
      <c r="E216" s="8">
        <v>162.75</v>
      </c>
      <c r="F216" s="8">
        <v>162.75</v>
      </c>
      <c r="G216" s="8">
        <v>0</v>
      </c>
      <c r="H216" s="8">
        <v>-162.75</v>
      </c>
    </row>
    <row r="217" spans="2:8" x14ac:dyDescent="0.25">
      <c r="B217" s="16" t="s">
        <v>369</v>
      </c>
      <c r="D217" s="7">
        <v>8000</v>
      </c>
      <c r="E217" s="8">
        <v>3956.06</v>
      </c>
      <c r="F217" s="8">
        <v>3956.06</v>
      </c>
      <c r="G217" s="8">
        <v>0</v>
      </c>
      <c r="H217" s="8">
        <v>4043.9400000000005</v>
      </c>
    </row>
    <row r="218" spans="2:8" x14ac:dyDescent="0.25">
      <c r="C218" s="9" t="s">
        <v>116</v>
      </c>
      <c r="D218" s="7">
        <v>8000</v>
      </c>
      <c r="E218" s="8">
        <v>0</v>
      </c>
      <c r="F218" s="8">
        <v>0</v>
      </c>
      <c r="G218" s="8">
        <v>0</v>
      </c>
      <c r="H218" s="8">
        <v>8000</v>
      </c>
    </row>
    <row r="219" spans="2:8" x14ac:dyDescent="0.25">
      <c r="C219" s="9" t="s">
        <v>166</v>
      </c>
      <c r="D219" s="7">
        <v>0</v>
      </c>
      <c r="E219" s="8">
        <v>3171.56</v>
      </c>
      <c r="F219" s="8">
        <v>3171.56</v>
      </c>
      <c r="G219" s="8">
        <v>0</v>
      </c>
      <c r="H219" s="8">
        <v>-3171.56</v>
      </c>
    </row>
    <row r="220" spans="2:8" x14ac:dyDescent="0.25">
      <c r="C220" s="9" t="s">
        <v>352</v>
      </c>
      <c r="D220" s="7">
        <v>0</v>
      </c>
      <c r="E220" s="8">
        <v>105</v>
      </c>
      <c r="F220" s="8">
        <v>105</v>
      </c>
      <c r="G220" s="8">
        <v>0</v>
      </c>
      <c r="H220" s="8">
        <v>-105</v>
      </c>
    </row>
    <row r="221" spans="2:8" x14ac:dyDescent="0.25">
      <c r="C221" s="9" t="s">
        <v>372</v>
      </c>
      <c r="D221" s="7">
        <v>0</v>
      </c>
      <c r="E221" s="8">
        <v>679.5</v>
      </c>
      <c r="F221" s="8">
        <v>679.5</v>
      </c>
      <c r="G221" s="8">
        <v>0</v>
      </c>
      <c r="H221" s="8">
        <v>-679.5</v>
      </c>
    </row>
    <row r="222" spans="2:8" x14ac:dyDescent="0.25">
      <c r="B222" s="16" t="s">
        <v>374</v>
      </c>
      <c r="D222" s="7">
        <v>8000</v>
      </c>
      <c r="E222" s="8">
        <v>5592.82</v>
      </c>
      <c r="F222" s="8">
        <v>5592.82</v>
      </c>
      <c r="G222" s="8">
        <v>0</v>
      </c>
      <c r="H222" s="8">
        <v>2407.1800000000003</v>
      </c>
    </row>
    <row r="223" spans="2:8" x14ac:dyDescent="0.25">
      <c r="C223" s="9" t="s">
        <v>116</v>
      </c>
      <c r="D223" s="7">
        <v>8000</v>
      </c>
      <c r="E223" s="8">
        <v>0</v>
      </c>
      <c r="F223" s="8">
        <v>0</v>
      </c>
      <c r="G223" s="8">
        <v>0</v>
      </c>
      <c r="H223" s="8">
        <v>8000</v>
      </c>
    </row>
    <row r="224" spans="2:8" x14ac:dyDescent="0.25">
      <c r="C224" s="9" t="s">
        <v>355</v>
      </c>
      <c r="D224" s="7">
        <v>0</v>
      </c>
      <c r="E224" s="8">
        <v>5592.82</v>
      </c>
      <c r="F224" s="8">
        <v>5592.82</v>
      </c>
      <c r="G224" s="8">
        <v>0</v>
      </c>
      <c r="H224" s="8">
        <v>-5592.82</v>
      </c>
    </row>
    <row r="225" spans="2:8" x14ac:dyDescent="0.25">
      <c r="B225" s="15" t="s">
        <v>386</v>
      </c>
      <c r="D225" s="7">
        <v>37417</v>
      </c>
      <c r="E225" s="8">
        <v>27192.94</v>
      </c>
      <c r="F225" s="8">
        <v>27192.94</v>
      </c>
      <c r="G225" s="8">
        <v>0</v>
      </c>
      <c r="H225" s="8">
        <v>10224.060000000001</v>
      </c>
    </row>
    <row r="226" spans="2:8" x14ac:dyDescent="0.25">
      <c r="B226" s="16" t="s">
        <v>388</v>
      </c>
      <c r="D226" s="7">
        <v>11000</v>
      </c>
      <c r="E226" s="8">
        <v>4626.1400000000003</v>
      </c>
      <c r="F226" s="8">
        <v>4626.1400000000003</v>
      </c>
      <c r="G226" s="8">
        <v>0</v>
      </c>
      <c r="H226" s="8">
        <v>6373.86</v>
      </c>
    </row>
    <row r="227" spans="2:8" x14ac:dyDescent="0.25">
      <c r="C227" s="9" t="s">
        <v>116</v>
      </c>
      <c r="D227" s="7">
        <v>11000</v>
      </c>
      <c r="E227" s="8">
        <v>0</v>
      </c>
      <c r="F227" s="8">
        <v>0</v>
      </c>
      <c r="G227" s="8">
        <v>0</v>
      </c>
      <c r="H227" s="8">
        <v>11000</v>
      </c>
    </row>
    <row r="228" spans="2:8" x14ac:dyDescent="0.25">
      <c r="C228" s="9" t="s">
        <v>365</v>
      </c>
      <c r="D228" s="7">
        <v>0</v>
      </c>
      <c r="E228" s="8">
        <v>4626.1400000000003</v>
      </c>
      <c r="F228" s="8">
        <v>4626.1400000000003</v>
      </c>
      <c r="G228" s="8">
        <v>0</v>
      </c>
      <c r="H228" s="8">
        <v>-4626.1400000000003</v>
      </c>
    </row>
    <row r="229" spans="2:8" x14ac:dyDescent="0.25">
      <c r="B229" s="16" t="s">
        <v>390</v>
      </c>
      <c r="D229" s="7">
        <v>8000</v>
      </c>
      <c r="E229" s="8">
        <v>5978.1100000000006</v>
      </c>
      <c r="F229" s="8">
        <v>5978.1100000000006</v>
      </c>
      <c r="G229" s="8">
        <v>0</v>
      </c>
      <c r="H229" s="8">
        <v>2021.8899999999994</v>
      </c>
    </row>
    <row r="230" spans="2:8" x14ac:dyDescent="0.25">
      <c r="C230" s="9" t="s">
        <v>116</v>
      </c>
      <c r="D230" s="7">
        <v>8000</v>
      </c>
      <c r="E230" s="8">
        <v>0</v>
      </c>
      <c r="F230" s="8">
        <v>0</v>
      </c>
      <c r="G230" s="8">
        <v>0</v>
      </c>
      <c r="H230" s="8">
        <v>8000</v>
      </c>
    </row>
    <row r="231" spans="2:8" x14ac:dyDescent="0.25">
      <c r="C231" s="9" t="s">
        <v>147</v>
      </c>
      <c r="D231" s="7">
        <v>0</v>
      </c>
      <c r="E231" s="8">
        <v>493.68</v>
      </c>
      <c r="F231" s="8">
        <v>493.68</v>
      </c>
      <c r="G231" s="8">
        <v>0</v>
      </c>
      <c r="H231" s="8">
        <v>-493.68</v>
      </c>
    </row>
    <row r="232" spans="2:8" x14ac:dyDescent="0.25">
      <c r="C232" s="9" t="s">
        <v>365</v>
      </c>
      <c r="D232" s="7">
        <v>0</v>
      </c>
      <c r="E232" s="8">
        <v>5484.43</v>
      </c>
      <c r="F232" s="8">
        <v>5484.43</v>
      </c>
      <c r="G232" s="8">
        <v>0</v>
      </c>
      <c r="H232" s="8">
        <v>-5484.43</v>
      </c>
    </row>
    <row r="233" spans="2:8" x14ac:dyDescent="0.25">
      <c r="B233" s="16" t="s">
        <v>392</v>
      </c>
      <c r="D233" s="7">
        <v>13417</v>
      </c>
      <c r="E233" s="8">
        <v>13415.710000000001</v>
      </c>
      <c r="F233" s="8">
        <v>13415.710000000001</v>
      </c>
      <c r="G233" s="8">
        <v>0</v>
      </c>
      <c r="H233" s="8">
        <v>1.2899999999990541</v>
      </c>
    </row>
    <row r="234" spans="2:8" x14ac:dyDescent="0.25">
      <c r="C234" s="9" t="s">
        <v>116</v>
      </c>
      <c r="D234" s="7">
        <v>13417</v>
      </c>
      <c r="E234" s="8">
        <v>0</v>
      </c>
      <c r="F234" s="8">
        <v>0</v>
      </c>
      <c r="G234" s="8">
        <v>0</v>
      </c>
      <c r="H234" s="8">
        <v>13417</v>
      </c>
    </row>
    <row r="235" spans="2:8" x14ac:dyDescent="0.25">
      <c r="C235" s="9" t="s">
        <v>223</v>
      </c>
      <c r="D235" s="7">
        <v>0</v>
      </c>
      <c r="E235" s="8">
        <v>491.51</v>
      </c>
      <c r="F235" s="8">
        <v>491.51</v>
      </c>
      <c r="G235" s="8">
        <v>0</v>
      </c>
      <c r="H235" s="8">
        <v>-491.51</v>
      </c>
    </row>
    <row r="236" spans="2:8" x14ac:dyDescent="0.25">
      <c r="C236" s="9" t="s">
        <v>372</v>
      </c>
      <c r="D236" s="7">
        <v>0</v>
      </c>
      <c r="E236" s="8">
        <v>12924.2</v>
      </c>
      <c r="F236" s="8">
        <v>12924.2</v>
      </c>
      <c r="G236" s="8">
        <v>0</v>
      </c>
      <c r="H236" s="8">
        <v>-12924.2</v>
      </c>
    </row>
    <row r="237" spans="2:8" x14ac:dyDescent="0.25">
      <c r="B237" s="16" t="s">
        <v>394</v>
      </c>
      <c r="D237" s="7">
        <v>5000</v>
      </c>
      <c r="E237" s="8">
        <v>3172.98</v>
      </c>
      <c r="F237" s="8">
        <v>3172.98</v>
      </c>
      <c r="G237" s="8">
        <v>0</v>
      </c>
      <c r="H237" s="8">
        <v>1827.02</v>
      </c>
    </row>
    <row r="238" spans="2:8" x14ac:dyDescent="0.25">
      <c r="C238" s="9" t="s">
        <v>116</v>
      </c>
      <c r="D238" s="7">
        <v>5000</v>
      </c>
      <c r="E238" s="8">
        <v>0</v>
      </c>
      <c r="F238" s="8">
        <v>0</v>
      </c>
      <c r="G238" s="8">
        <v>0</v>
      </c>
      <c r="H238" s="8">
        <v>5000</v>
      </c>
    </row>
    <row r="239" spans="2:8" x14ac:dyDescent="0.25">
      <c r="C239" s="9" t="s">
        <v>147</v>
      </c>
      <c r="D239" s="7">
        <v>0</v>
      </c>
      <c r="E239" s="8">
        <v>3172.98</v>
      </c>
      <c r="F239" s="8">
        <v>3172.98</v>
      </c>
      <c r="G239" s="8">
        <v>0</v>
      </c>
      <c r="H239" s="8">
        <v>-3172.98</v>
      </c>
    </row>
    <row r="240" spans="2:8" x14ac:dyDescent="0.25">
      <c r="B240" s="15" t="s">
        <v>396</v>
      </c>
      <c r="D240" s="7">
        <v>68500</v>
      </c>
      <c r="E240" s="8">
        <v>57217.56</v>
      </c>
      <c r="F240" s="8">
        <v>57217.56</v>
      </c>
      <c r="G240" s="8">
        <v>0</v>
      </c>
      <c r="H240" s="8">
        <v>11282.440000000002</v>
      </c>
    </row>
    <row r="241" spans="2:8" x14ac:dyDescent="0.25">
      <c r="B241" s="16" t="s">
        <v>398</v>
      </c>
      <c r="D241" s="7">
        <v>15000</v>
      </c>
      <c r="E241" s="8">
        <v>13987.31</v>
      </c>
      <c r="F241" s="8">
        <v>13987.31</v>
      </c>
      <c r="G241" s="8">
        <v>0</v>
      </c>
      <c r="H241" s="8">
        <v>1012.6900000000005</v>
      </c>
    </row>
    <row r="242" spans="2:8" x14ac:dyDescent="0.25">
      <c r="C242" s="9" t="s">
        <v>116</v>
      </c>
      <c r="D242" s="7">
        <v>15000</v>
      </c>
      <c r="E242" s="8">
        <v>0</v>
      </c>
      <c r="F242" s="8">
        <v>0</v>
      </c>
      <c r="G242" s="8">
        <v>0</v>
      </c>
      <c r="H242" s="8">
        <v>15000</v>
      </c>
    </row>
    <row r="243" spans="2:8" x14ac:dyDescent="0.25">
      <c r="C243" s="9" t="s">
        <v>401</v>
      </c>
      <c r="D243" s="7">
        <v>0</v>
      </c>
      <c r="E243" s="8">
        <v>13987.31</v>
      </c>
      <c r="F243" s="8">
        <v>13987.31</v>
      </c>
      <c r="G243" s="8">
        <v>0</v>
      </c>
      <c r="H243" s="8">
        <v>-13987.31</v>
      </c>
    </row>
    <row r="244" spans="2:8" x14ac:dyDescent="0.25">
      <c r="B244" s="16" t="s">
        <v>403</v>
      </c>
      <c r="D244" s="7">
        <v>40000</v>
      </c>
      <c r="E244" s="8">
        <v>30546.75</v>
      </c>
      <c r="F244" s="8">
        <v>30546.75</v>
      </c>
      <c r="G244" s="8">
        <v>0</v>
      </c>
      <c r="H244" s="8">
        <v>9453.25</v>
      </c>
    </row>
    <row r="245" spans="2:8" x14ac:dyDescent="0.25">
      <c r="C245" s="9" t="s">
        <v>116</v>
      </c>
      <c r="D245" s="7">
        <v>40000</v>
      </c>
      <c r="E245" s="8">
        <v>0</v>
      </c>
      <c r="F245" s="8">
        <v>0</v>
      </c>
      <c r="G245" s="8">
        <v>0</v>
      </c>
      <c r="H245" s="8">
        <v>40000</v>
      </c>
    </row>
    <row r="246" spans="2:8" x14ac:dyDescent="0.25">
      <c r="C246" s="9" t="s">
        <v>406</v>
      </c>
      <c r="D246" s="7">
        <v>0</v>
      </c>
      <c r="E246" s="8">
        <v>30546.75</v>
      </c>
      <c r="F246" s="8">
        <v>30546.75</v>
      </c>
      <c r="G246" s="8">
        <v>0</v>
      </c>
      <c r="H246" s="8">
        <v>-30546.75</v>
      </c>
    </row>
    <row r="247" spans="2:8" x14ac:dyDescent="0.25">
      <c r="B247" s="16" t="s">
        <v>408</v>
      </c>
      <c r="D247" s="7">
        <v>1500</v>
      </c>
      <c r="E247" s="8">
        <v>888.96</v>
      </c>
      <c r="F247" s="8">
        <v>888.96</v>
      </c>
      <c r="G247" s="8">
        <v>0</v>
      </c>
      <c r="H247" s="8">
        <v>611.04</v>
      </c>
    </row>
    <row r="248" spans="2:8" x14ac:dyDescent="0.25">
      <c r="C248" s="9" t="s">
        <v>116</v>
      </c>
      <c r="D248" s="7">
        <v>1500</v>
      </c>
      <c r="E248" s="8">
        <v>0</v>
      </c>
      <c r="F248" s="8">
        <v>0</v>
      </c>
      <c r="G248" s="8">
        <v>0</v>
      </c>
      <c r="H248" s="8">
        <v>1500</v>
      </c>
    </row>
    <row r="249" spans="2:8" x14ac:dyDescent="0.25">
      <c r="C249" s="9" t="s">
        <v>411</v>
      </c>
      <c r="D249" s="7">
        <v>0</v>
      </c>
      <c r="E249" s="8">
        <v>888.96</v>
      </c>
      <c r="F249" s="8">
        <v>888.96</v>
      </c>
      <c r="G249" s="8">
        <v>0</v>
      </c>
      <c r="H249" s="8">
        <v>-888.96</v>
      </c>
    </row>
    <row r="250" spans="2:8" x14ac:dyDescent="0.25">
      <c r="B250" s="16" t="s">
        <v>413</v>
      </c>
      <c r="D250" s="7">
        <v>6000</v>
      </c>
      <c r="E250" s="8">
        <v>6000</v>
      </c>
      <c r="F250" s="8">
        <v>6000</v>
      </c>
      <c r="G250" s="8">
        <v>0</v>
      </c>
      <c r="H250" s="8">
        <v>0</v>
      </c>
    </row>
    <row r="251" spans="2:8" x14ac:dyDescent="0.25">
      <c r="C251" s="9" t="s">
        <v>116</v>
      </c>
      <c r="D251" s="7">
        <v>6000</v>
      </c>
      <c r="E251" s="8">
        <v>0</v>
      </c>
      <c r="F251" s="8">
        <v>0</v>
      </c>
      <c r="G251" s="8">
        <v>0</v>
      </c>
      <c r="H251" s="8">
        <v>6000</v>
      </c>
    </row>
    <row r="252" spans="2:8" x14ac:dyDescent="0.25">
      <c r="C252" s="9" t="s">
        <v>401</v>
      </c>
      <c r="D252" s="7">
        <v>0</v>
      </c>
      <c r="E252" s="8">
        <v>6000</v>
      </c>
      <c r="F252" s="8">
        <v>6000</v>
      </c>
      <c r="G252" s="8">
        <v>0</v>
      </c>
      <c r="H252" s="8">
        <v>-6000</v>
      </c>
    </row>
    <row r="253" spans="2:8" x14ac:dyDescent="0.25">
      <c r="B253" s="16" t="s">
        <v>415</v>
      </c>
      <c r="D253" s="7">
        <v>6000</v>
      </c>
      <c r="E253" s="8">
        <v>5794.54</v>
      </c>
      <c r="F253" s="8">
        <v>5794.54</v>
      </c>
      <c r="G253" s="8">
        <v>0</v>
      </c>
      <c r="H253" s="8">
        <v>205.46000000000004</v>
      </c>
    </row>
    <row r="254" spans="2:8" x14ac:dyDescent="0.25">
      <c r="C254" s="9" t="s">
        <v>116</v>
      </c>
      <c r="D254" s="7">
        <v>6000</v>
      </c>
      <c r="E254" s="8">
        <v>0</v>
      </c>
      <c r="F254" s="8">
        <v>0</v>
      </c>
      <c r="G254" s="8">
        <v>0</v>
      </c>
      <c r="H254" s="8">
        <v>6000</v>
      </c>
    </row>
    <row r="255" spans="2:8" x14ac:dyDescent="0.25">
      <c r="C255" s="9" t="s">
        <v>406</v>
      </c>
      <c r="D255" s="7">
        <v>0</v>
      </c>
      <c r="E255" s="8">
        <v>5794.54</v>
      </c>
      <c r="F255" s="8">
        <v>5794.54</v>
      </c>
      <c r="G255" s="8">
        <v>0</v>
      </c>
      <c r="H255" s="8">
        <v>-5794.54</v>
      </c>
    </row>
    <row r="256" spans="2:8" x14ac:dyDescent="0.25">
      <c r="B256" s="13" t="s">
        <v>418</v>
      </c>
      <c r="D256" s="7">
        <v>233827.97</v>
      </c>
      <c r="E256" s="8">
        <v>182798.6</v>
      </c>
      <c r="F256" s="8">
        <v>182798.6</v>
      </c>
      <c r="G256" s="8">
        <v>0</v>
      </c>
      <c r="H256" s="8">
        <v>51029.369999999995</v>
      </c>
    </row>
    <row r="257" spans="2:8" x14ac:dyDescent="0.25">
      <c r="B257" s="14" t="s">
        <v>421</v>
      </c>
      <c r="D257" s="7">
        <v>233827.97</v>
      </c>
      <c r="E257" s="8">
        <v>182798.6</v>
      </c>
      <c r="F257" s="8">
        <v>182798.6</v>
      </c>
      <c r="G257" s="8">
        <v>0</v>
      </c>
      <c r="H257" s="8">
        <v>51029.369999999995</v>
      </c>
    </row>
    <row r="258" spans="2:8" x14ac:dyDescent="0.25">
      <c r="B258" s="15" t="s">
        <v>441</v>
      </c>
      <c r="D258" s="7">
        <v>17292.32</v>
      </c>
      <c r="E258" s="8">
        <v>17292.32</v>
      </c>
      <c r="F258" s="8">
        <v>17292.32</v>
      </c>
      <c r="G258" s="8">
        <v>0</v>
      </c>
      <c r="H258" s="8">
        <v>0</v>
      </c>
    </row>
    <row r="259" spans="2:8" x14ac:dyDescent="0.25">
      <c r="B259" s="16" t="s">
        <v>443</v>
      </c>
      <c r="D259" s="7">
        <v>15370.95</v>
      </c>
      <c r="E259" s="8">
        <v>15370.95</v>
      </c>
      <c r="F259" s="8">
        <v>15370.95</v>
      </c>
      <c r="G259" s="8">
        <v>0</v>
      </c>
      <c r="H259" s="8">
        <v>0</v>
      </c>
    </row>
    <row r="260" spans="2:8" x14ac:dyDescent="0.25">
      <c r="C260" s="9" t="s">
        <v>116</v>
      </c>
      <c r="D260" s="7">
        <v>15370.95</v>
      </c>
      <c r="E260" s="8">
        <v>0</v>
      </c>
      <c r="F260" s="8">
        <v>0</v>
      </c>
      <c r="G260" s="8">
        <v>0</v>
      </c>
      <c r="H260" s="8">
        <v>15370.95</v>
      </c>
    </row>
    <row r="261" spans="2:8" x14ac:dyDescent="0.25">
      <c r="C261" s="9" t="s">
        <v>446</v>
      </c>
      <c r="D261" s="7">
        <v>0</v>
      </c>
      <c r="E261" s="8">
        <v>15370.95</v>
      </c>
      <c r="F261" s="8">
        <v>15370.95</v>
      </c>
      <c r="G261" s="8">
        <v>0</v>
      </c>
      <c r="H261" s="8">
        <v>-15370.95</v>
      </c>
    </row>
    <row r="262" spans="2:8" x14ac:dyDescent="0.25">
      <c r="B262" s="16" t="s">
        <v>448</v>
      </c>
      <c r="D262" s="7">
        <v>1921.37</v>
      </c>
      <c r="E262" s="8">
        <v>1921.37</v>
      </c>
      <c r="F262" s="8">
        <v>1921.37</v>
      </c>
      <c r="G262" s="8">
        <v>0</v>
      </c>
      <c r="H262" s="8">
        <v>0</v>
      </c>
    </row>
    <row r="263" spans="2:8" x14ac:dyDescent="0.25">
      <c r="C263" s="9" t="s">
        <v>116</v>
      </c>
      <c r="D263" s="7">
        <v>1921.37</v>
      </c>
      <c r="E263" s="8">
        <v>0</v>
      </c>
      <c r="F263" s="8">
        <v>0</v>
      </c>
      <c r="G263" s="8">
        <v>0</v>
      </c>
      <c r="H263" s="8">
        <v>1921.37</v>
      </c>
    </row>
    <row r="264" spans="2:8" x14ac:dyDescent="0.25">
      <c r="C264" s="9" t="s">
        <v>446</v>
      </c>
      <c r="D264" s="7">
        <v>0</v>
      </c>
      <c r="E264" s="8">
        <v>1921.37</v>
      </c>
      <c r="F264" s="8">
        <v>1921.37</v>
      </c>
      <c r="G264" s="8">
        <v>0</v>
      </c>
      <c r="H264" s="8">
        <v>-1921.37</v>
      </c>
    </row>
    <row r="265" spans="2:8" x14ac:dyDescent="0.25">
      <c r="B265" s="15" t="s">
        <v>423</v>
      </c>
      <c r="D265" s="7">
        <v>216535.65</v>
      </c>
      <c r="E265" s="8">
        <v>165506.28</v>
      </c>
      <c r="F265" s="8">
        <v>165506.28</v>
      </c>
      <c r="G265" s="8">
        <v>0</v>
      </c>
      <c r="H265" s="8">
        <v>51029.369999999995</v>
      </c>
    </row>
    <row r="266" spans="2:8" x14ac:dyDescent="0.25">
      <c r="B266" s="16" t="s">
        <v>425</v>
      </c>
      <c r="D266" s="7">
        <v>51281.52</v>
      </c>
      <c r="E266" s="8">
        <v>252.15</v>
      </c>
      <c r="F266" s="8">
        <v>252.15</v>
      </c>
      <c r="G266" s="8">
        <v>0</v>
      </c>
      <c r="H266" s="8">
        <v>51029.369999999995</v>
      </c>
    </row>
    <row r="267" spans="2:8" x14ac:dyDescent="0.25">
      <c r="C267" s="9" t="s">
        <v>116</v>
      </c>
      <c r="D267" s="7">
        <v>51281.52</v>
      </c>
      <c r="E267" s="8">
        <v>0</v>
      </c>
      <c r="F267" s="8">
        <v>0</v>
      </c>
      <c r="G267" s="8">
        <v>0</v>
      </c>
      <c r="H267" s="8">
        <v>51281.52</v>
      </c>
    </row>
    <row r="268" spans="2:8" x14ac:dyDescent="0.25">
      <c r="C268" s="9" t="s">
        <v>205</v>
      </c>
      <c r="D268" s="7">
        <v>0</v>
      </c>
      <c r="E268" s="8">
        <v>252.15</v>
      </c>
      <c r="F268" s="8">
        <v>252.15</v>
      </c>
      <c r="G268" s="8">
        <v>0</v>
      </c>
      <c r="H268" s="8">
        <v>-252.15</v>
      </c>
    </row>
    <row r="269" spans="2:8" x14ac:dyDescent="0.25">
      <c r="B269" s="16" t="s">
        <v>427</v>
      </c>
      <c r="D269" s="7">
        <v>3527.17</v>
      </c>
      <c r="E269" s="8">
        <v>3527.17</v>
      </c>
      <c r="F269" s="8">
        <v>3527.17</v>
      </c>
      <c r="G269" s="8">
        <v>0</v>
      </c>
      <c r="H269" s="8">
        <v>0</v>
      </c>
    </row>
    <row r="270" spans="2:8" x14ac:dyDescent="0.25">
      <c r="C270" s="9" t="s">
        <v>116</v>
      </c>
      <c r="D270" s="7">
        <v>3527.17</v>
      </c>
      <c r="E270" s="8">
        <v>0</v>
      </c>
      <c r="F270" s="8">
        <v>0</v>
      </c>
      <c r="G270" s="8">
        <v>0</v>
      </c>
      <c r="H270" s="8">
        <v>3527.17</v>
      </c>
    </row>
    <row r="271" spans="2:8" x14ac:dyDescent="0.25">
      <c r="C271" s="9" t="s">
        <v>401</v>
      </c>
      <c r="D271" s="7">
        <v>0</v>
      </c>
      <c r="E271" s="8">
        <v>3527.17</v>
      </c>
      <c r="F271" s="8">
        <v>3527.17</v>
      </c>
      <c r="G271" s="8">
        <v>0</v>
      </c>
      <c r="H271" s="8">
        <v>-3527.17</v>
      </c>
    </row>
    <row r="272" spans="2:8" x14ac:dyDescent="0.25">
      <c r="B272" s="16" t="s">
        <v>429</v>
      </c>
      <c r="D272" s="7">
        <v>6276.56</v>
      </c>
      <c r="E272" s="8">
        <v>6276.56</v>
      </c>
      <c r="F272" s="8">
        <v>6276.56</v>
      </c>
      <c r="G272" s="8">
        <v>0</v>
      </c>
      <c r="H272" s="8">
        <v>0</v>
      </c>
    </row>
    <row r="273" spans="2:8" x14ac:dyDescent="0.25">
      <c r="C273" s="9" t="s">
        <v>116</v>
      </c>
      <c r="D273" s="7">
        <v>6276.56</v>
      </c>
      <c r="E273" s="8">
        <v>0</v>
      </c>
      <c r="F273" s="8">
        <v>0</v>
      </c>
      <c r="G273" s="8">
        <v>0</v>
      </c>
      <c r="H273" s="8">
        <v>6276.56</v>
      </c>
    </row>
    <row r="274" spans="2:8" x14ac:dyDescent="0.25">
      <c r="C274" s="9" t="s">
        <v>406</v>
      </c>
      <c r="D274" s="7">
        <v>0</v>
      </c>
      <c r="E274" s="8">
        <v>6276.56</v>
      </c>
      <c r="F274" s="8">
        <v>6276.56</v>
      </c>
      <c r="G274" s="8">
        <v>0</v>
      </c>
      <c r="H274" s="8">
        <v>-6276.56</v>
      </c>
    </row>
    <row r="275" spans="2:8" x14ac:dyDescent="0.25">
      <c r="B275" s="16" t="s">
        <v>431</v>
      </c>
      <c r="D275" s="7">
        <v>2250.92</v>
      </c>
      <c r="E275" s="8">
        <v>2250.92</v>
      </c>
      <c r="F275" s="8">
        <v>2250.92</v>
      </c>
      <c r="G275" s="8">
        <v>0</v>
      </c>
      <c r="H275" s="8">
        <v>0</v>
      </c>
    </row>
    <row r="276" spans="2:8" x14ac:dyDescent="0.25">
      <c r="C276" s="9" t="s">
        <v>116</v>
      </c>
      <c r="D276" s="7">
        <v>2250.92</v>
      </c>
      <c r="E276" s="8">
        <v>0</v>
      </c>
      <c r="F276" s="8">
        <v>0</v>
      </c>
      <c r="G276" s="8">
        <v>0</v>
      </c>
      <c r="H276" s="8">
        <v>2250.92</v>
      </c>
    </row>
    <row r="277" spans="2:8" x14ac:dyDescent="0.25">
      <c r="C277" s="9" t="s">
        <v>166</v>
      </c>
      <c r="D277" s="7">
        <v>0</v>
      </c>
      <c r="E277" s="8">
        <v>2250.92</v>
      </c>
      <c r="F277" s="8">
        <v>2250.92</v>
      </c>
      <c r="G277" s="8">
        <v>0</v>
      </c>
      <c r="H277" s="8">
        <v>-2250.92</v>
      </c>
    </row>
    <row r="278" spans="2:8" x14ac:dyDescent="0.25">
      <c r="B278" s="16" t="s">
        <v>433</v>
      </c>
      <c r="D278" s="7">
        <v>4049.8</v>
      </c>
      <c r="E278" s="8">
        <v>4049.8</v>
      </c>
      <c r="F278" s="8">
        <v>4049.8</v>
      </c>
      <c r="G278" s="8">
        <v>0</v>
      </c>
      <c r="H278" s="8">
        <v>1.7053025658242404E-13</v>
      </c>
    </row>
    <row r="279" spans="2:8" x14ac:dyDescent="0.25">
      <c r="C279" s="9" t="s">
        <v>116</v>
      </c>
      <c r="D279" s="7">
        <v>4049.8</v>
      </c>
      <c r="E279" s="8">
        <v>0</v>
      </c>
      <c r="F279" s="8">
        <v>0</v>
      </c>
      <c r="G279" s="8">
        <v>0</v>
      </c>
      <c r="H279" s="8">
        <v>4049.8</v>
      </c>
    </row>
    <row r="280" spans="2:8" x14ac:dyDescent="0.25">
      <c r="C280" s="9" t="s">
        <v>166</v>
      </c>
      <c r="D280" s="7">
        <v>0</v>
      </c>
      <c r="E280" s="8">
        <v>3700</v>
      </c>
      <c r="F280" s="8">
        <v>3700</v>
      </c>
      <c r="G280" s="8">
        <v>0</v>
      </c>
      <c r="H280" s="8">
        <v>-3700</v>
      </c>
    </row>
    <row r="281" spans="2:8" x14ac:dyDescent="0.25">
      <c r="C281" s="9" t="s">
        <v>355</v>
      </c>
      <c r="D281" s="7">
        <v>0</v>
      </c>
      <c r="E281" s="8">
        <v>349.8</v>
      </c>
      <c r="F281" s="8">
        <v>349.8</v>
      </c>
      <c r="G281" s="8">
        <v>0</v>
      </c>
      <c r="H281" s="8">
        <v>-349.8</v>
      </c>
    </row>
    <row r="282" spans="2:8" x14ac:dyDescent="0.25">
      <c r="B282" s="16" t="s">
        <v>435</v>
      </c>
      <c r="D282" s="7">
        <v>1560.66</v>
      </c>
      <c r="E282" s="8">
        <v>1560.6599999999999</v>
      </c>
      <c r="F282" s="8">
        <v>1560.6599999999999</v>
      </c>
      <c r="G282" s="8">
        <v>0</v>
      </c>
      <c r="H282" s="8">
        <v>1.7053025658242404E-13</v>
      </c>
    </row>
    <row r="283" spans="2:8" x14ac:dyDescent="0.25">
      <c r="C283" s="9" t="s">
        <v>116</v>
      </c>
      <c r="D283" s="7">
        <v>1560.66</v>
      </c>
      <c r="E283" s="8">
        <v>0</v>
      </c>
      <c r="F283" s="8">
        <v>0</v>
      </c>
      <c r="G283" s="8">
        <v>0</v>
      </c>
      <c r="H283" s="8">
        <v>1560.66</v>
      </c>
    </row>
    <row r="284" spans="2:8" x14ac:dyDescent="0.25">
      <c r="C284" s="9" t="s">
        <v>358</v>
      </c>
      <c r="D284" s="7">
        <v>0</v>
      </c>
      <c r="E284" s="8">
        <v>1353.86</v>
      </c>
      <c r="F284" s="8">
        <v>1353.86</v>
      </c>
      <c r="G284" s="8">
        <v>0</v>
      </c>
      <c r="H284" s="8">
        <v>-1353.86</v>
      </c>
    </row>
    <row r="285" spans="2:8" x14ac:dyDescent="0.25">
      <c r="C285" s="9" t="s">
        <v>365</v>
      </c>
      <c r="D285" s="7">
        <v>0</v>
      </c>
      <c r="E285" s="8">
        <v>206.8</v>
      </c>
      <c r="F285" s="8">
        <v>206.8</v>
      </c>
      <c r="G285" s="8">
        <v>0</v>
      </c>
      <c r="H285" s="8">
        <v>-206.8</v>
      </c>
    </row>
    <row r="286" spans="2:8" x14ac:dyDescent="0.25">
      <c r="B286" s="16" t="s">
        <v>437</v>
      </c>
      <c r="D286" s="7">
        <v>5367.49</v>
      </c>
      <c r="E286" s="8">
        <v>5367.49</v>
      </c>
      <c r="F286" s="8">
        <v>5367.49</v>
      </c>
      <c r="G286" s="8">
        <v>0</v>
      </c>
      <c r="H286" s="8">
        <v>0</v>
      </c>
    </row>
    <row r="287" spans="2:8" x14ac:dyDescent="0.25">
      <c r="C287" s="9" t="s">
        <v>116</v>
      </c>
      <c r="D287" s="7">
        <v>5367.49</v>
      </c>
      <c r="E287" s="8">
        <v>0</v>
      </c>
      <c r="F287" s="8">
        <v>0</v>
      </c>
      <c r="G287" s="8">
        <v>0</v>
      </c>
      <c r="H287" s="8">
        <v>5367.49</v>
      </c>
    </row>
    <row r="288" spans="2:8" x14ac:dyDescent="0.25">
      <c r="C288" s="9" t="s">
        <v>355</v>
      </c>
      <c r="D288" s="7">
        <v>0</v>
      </c>
      <c r="E288" s="8">
        <v>5367.49</v>
      </c>
      <c r="F288" s="8">
        <v>5367.49</v>
      </c>
      <c r="G288" s="8">
        <v>0</v>
      </c>
      <c r="H288" s="8">
        <v>-5367.49</v>
      </c>
    </row>
    <row r="289" spans="2:8" x14ac:dyDescent="0.25">
      <c r="B289" s="16" t="s">
        <v>439</v>
      </c>
      <c r="D289" s="7">
        <v>142221.53</v>
      </c>
      <c r="E289" s="8">
        <v>142221.53</v>
      </c>
      <c r="F289" s="8">
        <v>142221.53</v>
      </c>
      <c r="G289" s="8">
        <v>0</v>
      </c>
      <c r="H289" s="8">
        <v>0</v>
      </c>
    </row>
    <row r="290" spans="2:8" x14ac:dyDescent="0.25">
      <c r="C290" s="9" t="s">
        <v>116</v>
      </c>
      <c r="D290" s="7">
        <v>142221.53</v>
      </c>
      <c r="E290" s="8">
        <v>0</v>
      </c>
      <c r="F290" s="8">
        <v>0</v>
      </c>
      <c r="G290" s="8">
        <v>0</v>
      </c>
      <c r="H290" s="8">
        <v>142221.53</v>
      </c>
    </row>
    <row r="291" spans="2:8" x14ac:dyDescent="0.25">
      <c r="C291" s="9" t="s">
        <v>181</v>
      </c>
      <c r="D291" s="7">
        <v>0</v>
      </c>
      <c r="E291" s="8">
        <v>142221.53</v>
      </c>
      <c r="F291" s="8">
        <v>142221.53</v>
      </c>
      <c r="G291" s="8">
        <v>0</v>
      </c>
      <c r="H291" s="8">
        <v>-142221.53</v>
      </c>
    </row>
    <row r="292" spans="2:8" x14ac:dyDescent="0.25">
      <c r="B292" s="12" t="s">
        <v>451</v>
      </c>
      <c r="D292" s="7">
        <v>4000</v>
      </c>
      <c r="E292" s="8">
        <v>0</v>
      </c>
      <c r="F292" s="8">
        <v>0</v>
      </c>
      <c r="G292" s="8">
        <v>0</v>
      </c>
      <c r="H292" s="8">
        <v>4000</v>
      </c>
    </row>
    <row r="293" spans="2:8" x14ac:dyDescent="0.25">
      <c r="B293" s="13" t="s">
        <v>454</v>
      </c>
      <c r="D293" s="7">
        <v>4000</v>
      </c>
      <c r="E293" s="8">
        <v>0</v>
      </c>
      <c r="F293" s="8">
        <v>0</v>
      </c>
      <c r="G293" s="8">
        <v>0</v>
      </c>
      <c r="H293" s="8">
        <v>4000</v>
      </c>
    </row>
    <row r="294" spans="2:8" x14ac:dyDescent="0.25">
      <c r="B294" s="14" t="s">
        <v>457</v>
      </c>
      <c r="D294" s="7">
        <v>4000</v>
      </c>
      <c r="E294" s="8">
        <v>0</v>
      </c>
      <c r="F294" s="8">
        <v>0</v>
      </c>
      <c r="G294" s="8">
        <v>0</v>
      </c>
      <c r="H294" s="8">
        <v>4000</v>
      </c>
    </row>
    <row r="295" spans="2:8" x14ac:dyDescent="0.25">
      <c r="B295" s="15" t="s">
        <v>459</v>
      </c>
      <c r="D295" s="7">
        <v>4000</v>
      </c>
      <c r="E295" s="8">
        <v>0</v>
      </c>
      <c r="F295" s="8">
        <v>0</v>
      </c>
      <c r="G295" s="8">
        <v>0</v>
      </c>
      <c r="H295" s="8">
        <v>4000</v>
      </c>
    </row>
    <row r="296" spans="2:8" x14ac:dyDescent="0.25">
      <c r="B296" s="16" t="s">
        <v>461</v>
      </c>
      <c r="D296" s="7">
        <v>4000</v>
      </c>
      <c r="E296" s="8">
        <v>0</v>
      </c>
      <c r="F296" s="8">
        <v>0</v>
      </c>
      <c r="G296" s="8">
        <v>0</v>
      </c>
      <c r="H296" s="8">
        <v>4000</v>
      </c>
    </row>
    <row r="297" spans="2:8" x14ac:dyDescent="0.25">
      <c r="C297" s="9" t="s">
        <v>116</v>
      </c>
      <c r="D297" s="7">
        <v>4000</v>
      </c>
      <c r="E297" s="8">
        <v>0</v>
      </c>
      <c r="F297" s="8">
        <v>0</v>
      </c>
      <c r="G297" s="8">
        <v>0</v>
      </c>
      <c r="H297" s="8">
        <v>4000</v>
      </c>
    </row>
    <row r="298" spans="2:8" x14ac:dyDescent="0.25">
      <c r="B298" s="9" t="s">
        <v>8</v>
      </c>
      <c r="D298" s="7">
        <v>1020626.7200000002</v>
      </c>
      <c r="E298" s="8">
        <v>853696.88000000024</v>
      </c>
      <c r="F298" s="8">
        <v>853696.88000000024</v>
      </c>
      <c r="G298" s="8">
        <v>0</v>
      </c>
      <c r="H298" s="8">
        <v>166929.84000000005</v>
      </c>
    </row>
  </sheetData>
  <mergeCells count="1">
    <mergeCell ref="C1:F1"/>
  </mergeCells>
  <pageMargins left="0.7" right="0.7" top="0.75" bottom="0.75" header="0.3" footer="0.3"/>
  <pageSetup paperSize="9" scale="84" fitToHeight="0" orientation="landscape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D187"/>
  <sheetViews>
    <sheetView workbookViewId="0"/>
  </sheetViews>
  <sheetFormatPr baseColWidth="10" defaultColWidth="11.42578125" defaultRowHeight="15" x14ac:dyDescent="0.25"/>
  <cols>
    <col min="1" max="1" width="13.5703125" style="6" bestFit="1" customWidth="1"/>
    <col min="2" max="2" width="15.140625" style="6" bestFit="1" customWidth="1"/>
    <col min="3" max="3" width="13.42578125" style="6" bestFit="1" customWidth="1"/>
    <col min="4" max="4" width="21.42578125" style="6" bestFit="1" customWidth="1"/>
    <col min="5" max="5" width="15.140625" style="6" bestFit="1" customWidth="1"/>
    <col min="6" max="6" width="13.42578125" style="6" bestFit="1" customWidth="1"/>
    <col min="7" max="7" width="21.42578125" style="6" bestFit="1" customWidth="1"/>
    <col min="8" max="8" width="15.140625" style="6" bestFit="1" customWidth="1"/>
    <col min="9" max="9" width="13.42578125" style="8" bestFit="1" customWidth="1"/>
    <col min="10" max="10" width="21.42578125" style="8" bestFit="1" customWidth="1"/>
    <col min="11" max="11" width="15.140625" style="8" bestFit="1" customWidth="1"/>
    <col min="12" max="12" width="13.42578125" style="8" bestFit="1" customWidth="1"/>
    <col min="13" max="13" width="21.42578125" style="8" bestFit="1" customWidth="1"/>
    <col min="14" max="14" width="15.140625" style="8" bestFit="1" customWidth="1"/>
    <col min="15" max="15" width="13.42578125" style="8" bestFit="1" customWidth="1"/>
    <col min="16" max="16" width="21.42578125" style="8" bestFit="1" customWidth="1"/>
    <col min="17" max="17" width="15.140625" style="8" bestFit="1" customWidth="1"/>
    <col min="18" max="18" width="13.42578125" style="6" bestFit="1" customWidth="1"/>
    <col min="19" max="19" width="21.42578125" style="6" bestFit="1" customWidth="1"/>
    <col min="20" max="20" width="15.140625" style="6" bestFit="1" customWidth="1"/>
    <col min="21" max="21" width="13.42578125" style="6" bestFit="1" customWidth="1"/>
    <col min="22" max="22" width="21.42578125" style="6" bestFit="1" customWidth="1"/>
    <col min="23" max="23" width="15.140625" style="6" bestFit="1" customWidth="1"/>
    <col min="24" max="24" width="13.42578125" style="6" bestFit="1" customWidth="1"/>
    <col min="25" max="25" width="21.42578125" style="6" bestFit="1" customWidth="1"/>
    <col min="26" max="26" width="15.140625" style="6" bestFit="1" customWidth="1"/>
    <col min="27" max="27" width="13.42578125" style="6" bestFit="1" customWidth="1"/>
    <col min="28" max="28" width="21.42578125" style="6" bestFit="1" customWidth="1"/>
    <col min="29" max="29" width="16.28515625" style="6" bestFit="1" customWidth="1"/>
    <col min="30" max="30" width="13.42578125" style="6" bestFit="1" customWidth="1"/>
    <col min="31" max="31" width="22.42578125" style="6" bestFit="1" customWidth="1"/>
    <col min="32" max="32" width="16.7109375" style="6" bestFit="1" customWidth="1"/>
    <col min="33" max="33" width="13.42578125" style="6" bestFit="1" customWidth="1"/>
    <col min="34" max="34" width="22.85546875" style="6" bestFit="1" customWidth="1"/>
    <col min="35" max="35" width="16.7109375" style="6" bestFit="1" customWidth="1"/>
    <col min="36" max="36" width="13.42578125" style="6" bestFit="1" customWidth="1"/>
    <col min="37" max="37" width="22.85546875" style="6" bestFit="1" customWidth="1"/>
    <col min="38" max="38" width="16.7109375" style="6" bestFit="1" customWidth="1"/>
    <col min="39" max="39" width="13.42578125" style="6" bestFit="1" customWidth="1"/>
    <col min="40" max="40" width="22.85546875" style="6" bestFit="1" customWidth="1"/>
    <col min="41" max="41" width="16.7109375" style="6" bestFit="1" customWidth="1"/>
    <col min="42" max="42" width="13.42578125" style="6" bestFit="1" customWidth="1"/>
    <col min="43" max="43" width="22.85546875" style="6" bestFit="1" customWidth="1"/>
    <col min="44" max="44" width="16.7109375" style="6" bestFit="1" customWidth="1"/>
    <col min="45" max="45" width="13.42578125" style="6" bestFit="1" customWidth="1"/>
    <col min="46" max="46" width="22.85546875" style="6" bestFit="1" customWidth="1"/>
    <col min="47" max="47" width="16.7109375" style="6" bestFit="1" customWidth="1"/>
    <col min="48" max="48" width="13.42578125" style="6" bestFit="1" customWidth="1"/>
    <col min="49" max="49" width="22.85546875" style="6" bestFit="1" customWidth="1"/>
    <col min="50" max="50" width="16.7109375" style="6" bestFit="1" customWidth="1"/>
    <col min="51" max="51" width="13.42578125" style="6" bestFit="1" customWidth="1"/>
    <col min="52" max="52" width="22.85546875" style="6" bestFit="1" customWidth="1"/>
    <col min="53" max="53" width="16.7109375" style="6" bestFit="1" customWidth="1"/>
    <col min="54" max="54" width="13.42578125" style="6" bestFit="1" customWidth="1"/>
    <col min="55" max="55" width="22.85546875" style="6" bestFit="1" customWidth="1"/>
    <col min="56" max="56" width="16.7109375" style="6" bestFit="1" customWidth="1"/>
    <col min="57" max="57" width="13.42578125" style="6" bestFit="1" customWidth="1"/>
    <col min="58" max="58" width="22.85546875" style="6" bestFit="1" customWidth="1"/>
    <col min="59" max="59" width="17.7109375" style="6" bestFit="1" customWidth="1"/>
    <col min="60" max="60" width="13.42578125" style="6" bestFit="1" customWidth="1"/>
    <col min="61" max="61" width="23.85546875" style="6" bestFit="1" customWidth="1"/>
    <col min="62" max="62" width="8" style="6" bestFit="1" customWidth="1"/>
    <col min="63" max="63" width="13.42578125" style="6" bestFit="1" customWidth="1"/>
    <col min="64" max="72" width="17.7109375" style="6" bestFit="1" customWidth="1"/>
    <col min="73" max="76" width="18.7109375" style="6" bestFit="1" customWidth="1"/>
    <col min="77" max="77" width="33.7109375" style="6" customWidth="1"/>
    <col min="78" max="78" width="13.42578125" style="6" customWidth="1"/>
    <col min="79" max="107" width="11.42578125" style="6" hidden="1" customWidth="1"/>
    <col min="108" max="16384" width="11.42578125" style="6"/>
  </cols>
  <sheetData>
    <row r="1" spans="1:108" x14ac:dyDescent="0.25">
      <c r="A1" s="6" t="s">
        <v>0</v>
      </c>
      <c r="B1" s="9" t="str">
        <f>CA3</f>
        <v>102046083</v>
      </c>
      <c r="C1" s="6" t="s">
        <v>1</v>
      </c>
      <c r="D1" s="6" t="str">
        <f>CB3</f>
        <v>032FRANTZFRANCOISC01</v>
      </c>
      <c r="E1" s="6" t="s">
        <v>2</v>
      </c>
      <c r="F1" s="6" t="str">
        <f>CC3</f>
        <v>30/03/2026</v>
      </c>
      <c r="G1" s="6" t="s">
        <v>83</v>
      </c>
      <c r="H1" s="6" t="str">
        <f>BY3</f>
        <v>P03427</v>
      </c>
      <c r="I1" s="6" t="str">
        <f>BZ3</f>
        <v>9710040S</v>
      </c>
      <c r="J1" s="6"/>
      <c r="K1" s="6"/>
      <c r="L1" s="6"/>
      <c r="M1" s="6"/>
      <c r="N1" s="6"/>
      <c r="O1" s="6"/>
      <c r="P1" s="6"/>
      <c r="Q1" s="6"/>
    </row>
    <row r="2" spans="1:108" x14ac:dyDescent="0.25">
      <c r="A2" s="6" t="s">
        <v>5</v>
      </c>
      <c r="B2" s="6" t="s">
        <v>10</v>
      </c>
      <c r="C2" s="6" t="s">
        <v>9</v>
      </c>
      <c r="D2" s="6" t="s">
        <v>61</v>
      </c>
      <c r="E2" s="6" t="s">
        <v>11</v>
      </c>
      <c r="F2" s="6" t="s">
        <v>9</v>
      </c>
      <c r="G2" s="6" t="s">
        <v>62</v>
      </c>
      <c r="H2" s="6" t="s">
        <v>12</v>
      </c>
      <c r="I2" s="6" t="s">
        <v>9</v>
      </c>
      <c r="J2" s="6" t="s">
        <v>63</v>
      </c>
      <c r="K2" s="6" t="s">
        <v>13</v>
      </c>
      <c r="L2" s="6" t="s">
        <v>9</v>
      </c>
      <c r="M2" s="6" t="s">
        <v>64</v>
      </c>
      <c r="N2" s="6" t="s">
        <v>14</v>
      </c>
      <c r="O2" s="6" t="s">
        <v>9</v>
      </c>
      <c r="P2" s="6" t="s">
        <v>65</v>
      </c>
      <c r="Q2" s="6" t="s">
        <v>15</v>
      </c>
      <c r="R2" s="6" t="s">
        <v>9</v>
      </c>
      <c r="S2" s="6" t="s">
        <v>66</v>
      </c>
      <c r="T2" s="6" t="s">
        <v>16</v>
      </c>
      <c r="U2" s="6" t="s">
        <v>9</v>
      </c>
      <c r="V2" s="6" t="s">
        <v>67</v>
      </c>
      <c r="W2" s="6" t="s">
        <v>17</v>
      </c>
      <c r="X2" s="6" t="s">
        <v>9</v>
      </c>
      <c r="Y2" s="6" t="s">
        <v>68</v>
      </c>
      <c r="Z2" s="6" t="s">
        <v>18</v>
      </c>
      <c r="AA2" s="6" t="s">
        <v>9</v>
      </c>
      <c r="AB2" s="6" t="s">
        <v>69</v>
      </c>
      <c r="AC2" s="6" t="s">
        <v>70</v>
      </c>
      <c r="AD2" s="6" t="s">
        <v>9</v>
      </c>
      <c r="AE2" s="6" t="s">
        <v>71</v>
      </c>
      <c r="AF2" s="10" t="s">
        <v>19</v>
      </c>
      <c r="AG2" s="6" t="s">
        <v>9</v>
      </c>
      <c r="AH2" s="6" t="s">
        <v>72</v>
      </c>
      <c r="AI2" s="10" t="s">
        <v>20</v>
      </c>
      <c r="AJ2" s="6" t="s">
        <v>9</v>
      </c>
      <c r="AK2" s="6" t="s">
        <v>73</v>
      </c>
      <c r="AL2" s="10" t="s">
        <v>21</v>
      </c>
      <c r="AM2" s="6" t="s">
        <v>9</v>
      </c>
      <c r="AN2" s="6" t="s">
        <v>74</v>
      </c>
      <c r="AO2" s="10" t="s">
        <v>22</v>
      </c>
      <c r="AP2" s="6" t="s">
        <v>9</v>
      </c>
      <c r="AQ2" s="6" t="s">
        <v>75</v>
      </c>
      <c r="AR2" s="10" t="s">
        <v>23</v>
      </c>
      <c r="AS2" s="6" t="s">
        <v>9</v>
      </c>
      <c r="AT2" s="6" t="s">
        <v>76</v>
      </c>
      <c r="AU2" s="10" t="s">
        <v>24</v>
      </c>
      <c r="AV2" s="6" t="s">
        <v>9</v>
      </c>
      <c r="AW2" s="6" t="s">
        <v>77</v>
      </c>
      <c r="AX2" s="10" t="s">
        <v>25</v>
      </c>
      <c r="AY2" s="6" t="s">
        <v>9</v>
      </c>
      <c r="AZ2" s="6" t="s">
        <v>78</v>
      </c>
      <c r="BA2" s="10" t="s">
        <v>26</v>
      </c>
      <c r="BB2" s="6" t="s">
        <v>9</v>
      </c>
      <c r="BC2" s="6" t="s">
        <v>79</v>
      </c>
      <c r="BD2" s="10" t="s">
        <v>27</v>
      </c>
      <c r="BE2" s="6" t="s">
        <v>9</v>
      </c>
      <c r="BF2" s="6" t="s">
        <v>80</v>
      </c>
      <c r="BG2" s="10" t="s">
        <v>81</v>
      </c>
      <c r="BH2" s="6" t="s">
        <v>9</v>
      </c>
      <c r="BI2" s="6" t="s">
        <v>82</v>
      </c>
      <c r="BJ2" s="10" t="s">
        <v>3</v>
      </c>
      <c r="BK2" s="6" t="s">
        <v>9</v>
      </c>
      <c r="BL2" s="10" t="s">
        <v>28</v>
      </c>
      <c r="BM2" s="10" t="s">
        <v>29</v>
      </c>
      <c r="BN2" s="10" t="s">
        <v>30</v>
      </c>
      <c r="BO2" s="10" t="s">
        <v>31</v>
      </c>
      <c r="BP2" s="10" t="s">
        <v>32</v>
      </c>
      <c r="BQ2" s="10" t="s">
        <v>33</v>
      </c>
      <c r="BR2" s="10" t="s">
        <v>34</v>
      </c>
      <c r="BS2" s="10" t="s">
        <v>35</v>
      </c>
      <c r="BT2" s="10" t="s">
        <v>36</v>
      </c>
      <c r="BU2" s="10" t="s">
        <v>37</v>
      </c>
      <c r="BV2" s="10" t="s">
        <v>38</v>
      </c>
      <c r="BW2" s="10" t="s">
        <v>39</v>
      </c>
      <c r="BX2" s="10" t="s">
        <v>40</v>
      </c>
      <c r="BY2" s="10" t="s">
        <v>41</v>
      </c>
      <c r="BZ2" s="10" t="s">
        <v>84</v>
      </c>
      <c r="CA2" s="10" t="s">
        <v>6</v>
      </c>
      <c r="CB2" s="10" t="s">
        <v>42</v>
      </c>
      <c r="CC2" s="10" t="s">
        <v>7</v>
      </c>
      <c r="CD2" s="10" t="s">
        <v>43</v>
      </c>
      <c r="CE2" s="10" t="s">
        <v>44</v>
      </c>
      <c r="CF2" s="10" t="s">
        <v>45</v>
      </c>
      <c r="CG2" s="10" t="s">
        <v>46</v>
      </c>
      <c r="CH2" s="10" t="s">
        <v>47</v>
      </c>
      <c r="CI2" s="10" t="s">
        <v>48</v>
      </c>
      <c r="CJ2" s="10" t="s">
        <v>49</v>
      </c>
      <c r="CK2" s="10" t="s">
        <v>50</v>
      </c>
      <c r="CL2" s="10" t="s">
        <v>51</v>
      </c>
      <c r="CM2" s="10" t="s">
        <v>52</v>
      </c>
      <c r="CN2" s="10" t="s">
        <v>53</v>
      </c>
      <c r="CO2" s="10" t="s">
        <v>54</v>
      </c>
      <c r="CP2" s="10" t="s">
        <v>55</v>
      </c>
      <c r="CQ2" s="10" t="s">
        <v>85</v>
      </c>
      <c r="CR2" s="10" t="s">
        <v>86</v>
      </c>
      <c r="CS2" s="10" t="s">
        <v>87</v>
      </c>
      <c r="CT2" s="10" t="s">
        <v>88</v>
      </c>
      <c r="CU2" s="10" t="s">
        <v>89</v>
      </c>
      <c r="CV2" s="10" t="s">
        <v>90</v>
      </c>
      <c r="CW2" s="10" t="s">
        <v>91</v>
      </c>
      <c r="CX2" s="10" t="s">
        <v>92</v>
      </c>
      <c r="CY2" s="10" t="s">
        <v>93</v>
      </c>
      <c r="CZ2" s="10" t="s">
        <v>94</v>
      </c>
      <c r="DA2" s="10" t="s">
        <v>95</v>
      </c>
      <c r="DB2" s="10" t="s">
        <v>96</v>
      </c>
      <c r="DC2" s="10" t="s">
        <v>97</v>
      </c>
    </row>
    <row r="3" spans="1:108" x14ac:dyDescent="0.25">
      <c r="A3" t="s">
        <v>99</v>
      </c>
      <c r="B3" t="s">
        <v>100</v>
      </c>
      <c r="C3" t="s">
        <v>5</v>
      </c>
      <c r="D3" t="s">
        <v>101</v>
      </c>
      <c r="E3" t="s">
        <v>102</v>
      </c>
      <c r="F3" t="s">
        <v>103</v>
      </c>
      <c r="G3" t="s">
        <v>104</v>
      </c>
      <c r="H3" t="s">
        <v>105</v>
      </c>
      <c r="I3" s="6" t="s">
        <v>106</v>
      </c>
      <c r="J3" s="6" t="s">
        <v>107</v>
      </c>
      <c r="K3" s="6" t="s">
        <v>108</v>
      </c>
      <c r="L3" s="6" t="s">
        <v>109</v>
      </c>
      <c r="M3" s="6" t="s">
        <v>110</v>
      </c>
      <c r="N3" s="6" t="s">
        <v>111</v>
      </c>
      <c r="O3" s="6" t="s">
        <v>112</v>
      </c>
      <c r="P3" s="6" t="s">
        <v>113</v>
      </c>
      <c r="Q3" s="6" t="s">
        <v>114</v>
      </c>
      <c r="R3" t="s">
        <v>112</v>
      </c>
      <c r="S3" t="s">
        <v>115</v>
      </c>
      <c r="T3"/>
      <c r="U3"/>
      <c r="V3" t="s">
        <v>116</v>
      </c>
      <c r="W3"/>
      <c r="X3"/>
      <c r="Y3" t="s">
        <v>116</v>
      </c>
      <c r="Z3"/>
      <c r="AA3"/>
      <c r="AB3" t="s">
        <v>116</v>
      </c>
      <c r="AC3"/>
      <c r="AD3"/>
      <c r="AE3" t="s">
        <v>116</v>
      </c>
      <c r="AF3" t="s">
        <v>117</v>
      </c>
      <c r="AG3" t="s">
        <v>118</v>
      </c>
      <c r="AH3" t="s">
        <v>119</v>
      </c>
      <c r="AI3" t="s">
        <v>120</v>
      </c>
      <c r="AJ3" t="s">
        <v>121</v>
      </c>
      <c r="AK3" t="s">
        <v>122</v>
      </c>
      <c r="AL3"/>
      <c r="AM3"/>
      <c r="AN3" t="s">
        <v>116</v>
      </c>
      <c r="AO3"/>
      <c r="AP3"/>
      <c r="AQ3" t="s">
        <v>116</v>
      </c>
      <c r="AR3"/>
      <c r="AS3"/>
      <c r="AT3" t="s">
        <v>116</v>
      </c>
      <c r="AU3"/>
      <c r="AV3"/>
      <c r="AW3" t="s">
        <v>116</v>
      </c>
      <c r="AX3"/>
      <c r="AY3"/>
      <c r="AZ3" t="s">
        <v>116</v>
      </c>
      <c r="BA3"/>
      <c r="BB3"/>
      <c r="BC3" t="s">
        <v>116</v>
      </c>
      <c r="BD3"/>
      <c r="BE3"/>
      <c r="BF3" t="s">
        <v>116</v>
      </c>
      <c r="BG3"/>
      <c r="BH3"/>
      <c r="BI3" t="s">
        <v>116</v>
      </c>
      <c r="BJ3"/>
      <c r="BK3"/>
      <c r="BL3" s="8">
        <v>500</v>
      </c>
      <c r="BM3" s="8">
        <v>0</v>
      </c>
      <c r="BN3" s="8">
        <v>0</v>
      </c>
      <c r="BO3" s="8">
        <v>0</v>
      </c>
      <c r="BP3" s="8">
        <v>500</v>
      </c>
      <c r="BQ3" s="8">
        <v>0</v>
      </c>
      <c r="BR3" s="8">
        <v>0</v>
      </c>
      <c r="BS3" s="8">
        <v>0</v>
      </c>
      <c r="BT3" s="8">
        <v>0</v>
      </c>
      <c r="BU3" s="8">
        <v>0</v>
      </c>
      <c r="BV3" s="8">
        <v>0</v>
      </c>
      <c r="BW3" s="8">
        <v>0</v>
      </c>
      <c r="BX3" s="8">
        <v>0</v>
      </c>
      <c r="BY3" t="s">
        <v>99</v>
      </c>
      <c r="BZ3" t="s">
        <v>123</v>
      </c>
      <c r="CA3" t="s">
        <v>124</v>
      </c>
      <c r="CB3" t="s">
        <v>125</v>
      </c>
      <c r="CC3" t="s">
        <v>126</v>
      </c>
      <c r="CD3" t="s">
        <v>127</v>
      </c>
      <c r="CE3" t="s">
        <v>128</v>
      </c>
      <c r="CF3" t="s">
        <v>129</v>
      </c>
      <c r="CG3" t="s">
        <v>130</v>
      </c>
      <c r="CH3" t="s">
        <v>131</v>
      </c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</row>
    <row r="4" spans="1:108" x14ac:dyDescent="0.25">
      <c r="A4" t="s">
        <v>99</v>
      </c>
      <c r="B4" t="s">
        <v>100</v>
      </c>
      <c r="C4" t="s">
        <v>5</v>
      </c>
      <c r="D4" t="s">
        <v>101</v>
      </c>
      <c r="E4" t="s">
        <v>102</v>
      </c>
      <c r="F4" t="s">
        <v>103</v>
      </c>
      <c r="G4" t="s">
        <v>104</v>
      </c>
      <c r="H4" t="s">
        <v>105</v>
      </c>
      <c r="I4" s="6" t="s">
        <v>106</v>
      </c>
      <c r="J4" s="6" t="s">
        <v>107</v>
      </c>
      <c r="K4" s="6" t="s">
        <v>108</v>
      </c>
      <c r="L4" s="6" t="s">
        <v>109</v>
      </c>
      <c r="M4" s="6" t="s">
        <v>110</v>
      </c>
      <c r="N4" s="6" t="s">
        <v>111</v>
      </c>
      <c r="O4" s="6" t="s">
        <v>112</v>
      </c>
      <c r="P4" s="6" t="s">
        <v>113</v>
      </c>
      <c r="Q4" s="6" t="s">
        <v>132</v>
      </c>
      <c r="R4" t="s">
        <v>112</v>
      </c>
      <c r="S4" t="s">
        <v>133</v>
      </c>
      <c r="T4"/>
      <c r="U4"/>
      <c r="V4" t="s">
        <v>116</v>
      </c>
      <c r="W4"/>
      <c r="X4"/>
      <c r="Y4" t="s">
        <v>116</v>
      </c>
      <c r="Z4"/>
      <c r="AA4"/>
      <c r="AB4" t="s">
        <v>116</v>
      </c>
      <c r="AC4"/>
      <c r="AD4"/>
      <c r="AE4" t="s">
        <v>116</v>
      </c>
      <c r="AF4" t="s">
        <v>117</v>
      </c>
      <c r="AG4" t="s">
        <v>118</v>
      </c>
      <c r="AH4" t="s">
        <v>119</v>
      </c>
      <c r="AI4" t="s">
        <v>120</v>
      </c>
      <c r="AJ4" t="s">
        <v>121</v>
      </c>
      <c r="AK4" t="s">
        <v>122</v>
      </c>
      <c r="AL4"/>
      <c r="AM4"/>
      <c r="AN4" t="s">
        <v>116</v>
      </c>
      <c r="AO4"/>
      <c r="AP4"/>
      <c r="AQ4" t="s">
        <v>116</v>
      </c>
      <c r="AR4"/>
      <c r="AS4"/>
      <c r="AT4" t="s">
        <v>116</v>
      </c>
      <c r="AU4"/>
      <c r="AV4"/>
      <c r="AW4" t="s">
        <v>116</v>
      </c>
      <c r="AX4"/>
      <c r="AY4"/>
      <c r="AZ4" t="s">
        <v>116</v>
      </c>
      <c r="BA4"/>
      <c r="BB4"/>
      <c r="BC4" t="s">
        <v>116</v>
      </c>
      <c r="BD4"/>
      <c r="BE4"/>
      <c r="BF4" t="s">
        <v>116</v>
      </c>
      <c r="BG4"/>
      <c r="BH4"/>
      <c r="BI4" t="s">
        <v>116</v>
      </c>
      <c r="BJ4"/>
      <c r="BK4"/>
      <c r="BL4" s="8">
        <v>500</v>
      </c>
      <c r="BM4" s="8">
        <v>0</v>
      </c>
      <c r="BN4" s="8">
        <v>0</v>
      </c>
      <c r="BO4" s="8">
        <v>0</v>
      </c>
      <c r="BP4" s="8">
        <v>500</v>
      </c>
      <c r="BQ4" s="8">
        <v>0</v>
      </c>
      <c r="BR4" s="8">
        <v>0</v>
      </c>
      <c r="BS4" s="8">
        <v>0</v>
      </c>
      <c r="BT4" s="8">
        <v>0</v>
      </c>
      <c r="BU4" s="8">
        <v>0</v>
      </c>
      <c r="BV4" s="8">
        <v>0</v>
      </c>
      <c r="BW4" s="8">
        <v>0</v>
      </c>
      <c r="BX4" s="8">
        <v>0</v>
      </c>
      <c r="BY4" t="s">
        <v>99</v>
      </c>
      <c r="BZ4" t="s">
        <v>123</v>
      </c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</row>
    <row r="5" spans="1:108" x14ac:dyDescent="0.25">
      <c r="A5" t="s">
        <v>99</v>
      </c>
      <c r="B5" t="s">
        <v>100</v>
      </c>
      <c r="C5" t="s">
        <v>5</v>
      </c>
      <c r="D5" t="s">
        <v>101</v>
      </c>
      <c r="E5" t="s">
        <v>102</v>
      </c>
      <c r="F5" t="s">
        <v>103</v>
      </c>
      <c r="G5" t="s">
        <v>104</v>
      </c>
      <c r="H5" t="s">
        <v>105</v>
      </c>
      <c r="I5" s="6" t="s">
        <v>106</v>
      </c>
      <c r="J5" s="6" t="s">
        <v>107</v>
      </c>
      <c r="K5" s="6" t="s">
        <v>108</v>
      </c>
      <c r="L5" s="6" t="s">
        <v>109</v>
      </c>
      <c r="M5" s="6" t="s">
        <v>110</v>
      </c>
      <c r="N5" s="6" t="s">
        <v>134</v>
      </c>
      <c r="O5" s="6" t="s">
        <v>112</v>
      </c>
      <c r="P5" s="6" t="s">
        <v>135</v>
      </c>
      <c r="Q5" s="6" t="s">
        <v>136</v>
      </c>
      <c r="R5" t="s">
        <v>112</v>
      </c>
      <c r="S5" t="s">
        <v>137</v>
      </c>
      <c r="T5"/>
      <c r="U5"/>
      <c r="V5" t="s">
        <v>116</v>
      </c>
      <c r="W5"/>
      <c r="X5"/>
      <c r="Y5" t="s">
        <v>116</v>
      </c>
      <c r="Z5"/>
      <c r="AA5"/>
      <c r="AB5" t="s">
        <v>116</v>
      </c>
      <c r="AC5"/>
      <c r="AD5"/>
      <c r="AE5" t="s">
        <v>116</v>
      </c>
      <c r="AF5" t="s">
        <v>117</v>
      </c>
      <c r="AG5" t="s">
        <v>118</v>
      </c>
      <c r="AH5" t="s">
        <v>119</v>
      </c>
      <c r="AI5" t="s">
        <v>120</v>
      </c>
      <c r="AJ5" t="s">
        <v>121</v>
      </c>
      <c r="AK5" t="s">
        <v>122</v>
      </c>
      <c r="AL5"/>
      <c r="AM5"/>
      <c r="AN5" t="s">
        <v>116</v>
      </c>
      <c r="AO5"/>
      <c r="AP5"/>
      <c r="AQ5" t="s">
        <v>116</v>
      </c>
      <c r="AR5"/>
      <c r="AS5"/>
      <c r="AT5" t="s">
        <v>116</v>
      </c>
      <c r="AU5"/>
      <c r="AV5"/>
      <c r="AW5" t="s">
        <v>116</v>
      </c>
      <c r="AX5"/>
      <c r="AY5"/>
      <c r="AZ5" t="s">
        <v>116</v>
      </c>
      <c r="BA5"/>
      <c r="BB5"/>
      <c r="BC5" t="s">
        <v>116</v>
      </c>
      <c r="BD5"/>
      <c r="BE5"/>
      <c r="BF5" t="s">
        <v>116</v>
      </c>
      <c r="BG5"/>
      <c r="BH5"/>
      <c r="BI5" t="s">
        <v>116</v>
      </c>
      <c r="BJ5"/>
      <c r="BK5"/>
      <c r="BL5" s="8">
        <v>200</v>
      </c>
      <c r="BM5" s="8">
        <v>0</v>
      </c>
      <c r="BN5" s="8">
        <v>0</v>
      </c>
      <c r="BO5" s="8">
        <v>0</v>
      </c>
      <c r="BP5" s="8">
        <v>200</v>
      </c>
      <c r="BQ5" s="8">
        <v>0</v>
      </c>
      <c r="BR5" s="8">
        <v>0</v>
      </c>
      <c r="BS5" s="8">
        <v>0</v>
      </c>
      <c r="BT5" s="8">
        <v>0</v>
      </c>
      <c r="BU5" s="8">
        <v>0</v>
      </c>
      <c r="BV5" s="8">
        <v>0</v>
      </c>
      <c r="BW5" s="8">
        <v>0</v>
      </c>
      <c r="BX5" s="8">
        <v>0</v>
      </c>
      <c r="BY5" t="s">
        <v>99</v>
      </c>
      <c r="BZ5" t="s">
        <v>123</v>
      </c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</row>
    <row r="6" spans="1:108" x14ac:dyDescent="0.25">
      <c r="A6" t="s">
        <v>99</v>
      </c>
      <c r="B6" t="s">
        <v>100</v>
      </c>
      <c r="C6" t="s">
        <v>5</v>
      </c>
      <c r="D6" t="s">
        <v>101</v>
      </c>
      <c r="E6" t="s">
        <v>102</v>
      </c>
      <c r="F6" t="s">
        <v>103</v>
      </c>
      <c r="G6" t="s">
        <v>104</v>
      </c>
      <c r="H6" t="s">
        <v>105</v>
      </c>
      <c r="I6" s="6" t="s">
        <v>106</v>
      </c>
      <c r="J6" s="6" t="s">
        <v>107</v>
      </c>
      <c r="K6" s="6" t="s">
        <v>108</v>
      </c>
      <c r="L6" s="6" t="s">
        <v>109</v>
      </c>
      <c r="M6" s="6" t="s">
        <v>110</v>
      </c>
      <c r="N6" s="6" t="s">
        <v>134</v>
      </c>
      <c r="O6" s="6" t="s">
        <v>112</v>
      </c>
      <c r="P6" s="6" t="s">
        <v>135</v>
      </c>
      <c r="Q6" s="6" t="s">
        <v>138</v>
      </c>
      <c r="R6" t="s">
        <v>112</v>
      </c>
      <c r="S6" t="s">
        <v>139</v>
      </c>
      <c r="T6"/>
      <c r="U6"/>
      <c r="V6" t="s">
        <v>116</v>
      </c>
      <c r="W6"/>
      <c r="X6"/>
      <c r="Y6" t="s">
        <v>116</v>
      </c>
      <c r="Z6"/>
      <c r="AA6"/>
      <c r="AB6" t="s">
        <v>116</v>
      </c>
      <c r="AC6"/>
      <c r="AD6"/>
      <c r="AE6" t="s">
        <v>116</v>
      </c>
      <c r="AF6" t="s">
        <v>117</v>
      </c>
      <c r="AG6" t="s">
        <v>118</v>
      </c>
      <c r="AH6" t="s">
        <v>119</v>
      </c>
      <c r="AI6" t="s">
        <v>120</v>
      </c>
      <c r="AJ6" t="s">
        <v>121</v>
      </c>
      <c r="AK6" t="s">
        <v>122</v>
      </c>
      <c r="AL6"/>
      <c r="AM6"/>
      <c r="AN6" t="s">
        <v>116</v>
      </c>
      <c r="AO6"/>
      <c r="AP6"/>
      <c r="AQ6" t="s">
        <v>116</v>
      </c>
      <c r="AR6"/>
      <c r="AS6"/>
      <c r="AT6" t="s">
        <v>116</v>
      </c>
      <c r="AU6"/>
      <c r="AV6"/>
      <c r="AW6" t="s">
        <v>116</v>
      </c>
      <c r="AX6"/>
      <c r="AY6"/>
      <c r="AZ6" t="s">
        <v>116</v>
      </c>
      <c r="BA6"/>
      <c r="BB6"/>
      <c r="BC6" t="s">
        <v>116</v>
      </c>
      <c r="BD6"/>
      <c r="BE6"/>
      <c r="BF6" t="s">
        <v>116</v>
      </c>
      <c r="BG6"/>
      <c r="BH6"/>
      <c r="BI6" t="s">
        <v>116</v>
      </c>
      <c r="BJ6"/>
      <c r="BK6"/>
      <c r="BL6" s="8">
        <v>400</v>
      </c>
      <c r="BM6" s="8">
        <v>0</v>
      </c>
      <c r="BN6" s="8">
        <v>0</v>
      </c>
      <c r="BO6" s="8">
        <v>0</v>
      </c>
      <c r="BP6" s="8">
        <v>400</v>
      </c>
      <c r="BQ6" s="8">
        <v>0</v>
      </c>
      <c r="BR6" s="8">
        <v>0</v>
      </c>
      <c r="BS6" s="8">
        <v>0</v>
      </c>
      <c r="BT6" s="8">
        <v>0</v>
      </c>
      <c r="BU6" s="8">
        <v>0</v>
      </c>
      <c r="BV6" s="8">
        <v>0</v>
      </c>
      <c r="BW6" s="8">
        <v>0</v>
      </c>
      <c r="BX6" s="8">
        <v>0</v>
      </c>
      <c r="BY6" t="s">
        <v>99</v>
      </c>
      <c r="BZ6" t="s">
        <v>123</v>
      </c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</row>
    <row r="7" spans="1:108" x14ac:dyDescent="0.25">
      <c r="A7" t="s">
        <v>99</v>
      </c>
      <c r="B7" t="s">
        <v>100</v>
      </c>
      <c r="C7" t="s">
        <v>5</v>
      </c>
      <c r="D7" t="s">
        <v>101</v>
      </c>
      <c r="E7" t="s">
        <v>102</v>
      </c>
      <c r="F7" t="s">
        <v>103</v>
      </c>
      <c r="G7" t="s">
        <v>104</v>
      </c>
      <c r="H7" t="s">
        <v>105</v>
      </c>
      <c r="I7" s="6" t="s">
        <v>106</v>
      </c>
      <c r="J7" s="6" t="s">
        <v>107</v>
      </c>
      <c r="K7" s="6" t="s">
        <v>108</v>
      </c>
      <c r="L7" s="6" t="s">
        <v>109</v>
      </c>
      <c r="M7" s="6" t="s">
        <v>110</v>
      </c>
      <c r="N7" s="6" t="s">
        <v>134</v>
      </c>
      <c r="O7" s="6" t="s">
        <v>112</v>
      </c>
      <c r="P7" s="6" t="s">
        <v>135</v>
      </c>
      <c r="Q7" s="6" t="s">
        <v>138</v>
      </c>
      <c r="R7" t="s">
        <v>112</v>
      </c>
      <c r="S7" t="s">
        <v>139</v>
      </c>
      <c r="T7"/>
      <c r="U7"/>
      <c r="V7" t="s">
        <v>116</v>
      </c>
      <c r="W7"/>
      <c r="X7"/>
      <c r="Y7" t="s">
        <v>116</v>
      </c>
      <c r="Z7"/>
      <c r="AA7"/>
      <c r="AB7" t="s">
        <v>116</v>
      </c>
      <c r="AC7"/>
      <c r="AD7"/>
      <c r="AE7" t="s">
        <v>116</v>
      </c>
      <c r="AF7" t="s">
        <v>117</v>
      </c>
      <c r="AG7" t="s">
        <v>118</v>
      </c>
      <c r="AH7" t="s">
        <v>119</v>
      </c>
      <c r="AI7" t="s">
        <v>120</v>
      </c>
      <c r="AJ7" t="s">
        <v>121</v>
      </c>
      <c r="AK7" t="s">
        <v>122</v>
      </c>
      <c r="AL7" t="s">
        <v>140</v>
      </c>
      <c r="AM7" t="s">
        <v>141</v>
      </c>
      <c r="AN7" t="s">
        <v>142</v>
      </c>
      <c r="AO7"/>
      <c r="AP7"/>
      <c r="AQ7" t="s">
        <v>116</v>
      </c>
      <c r="AR7"/>
      <c r="AS7"/>
      <c r="AT7" t="s">
        <v>116</v>
      </c>
      <c r="AU7"/>
      <c r="AV7"/>
      <c r="AW7" t="s">
        <v>116</v>
      </c>
      <c r="AX7"/>
      <c r="AY7"/>
      <c r="AZ7" t="s">
        <v>116</v>
      </c>
      <c r="BA7"/>
      <c r="BB7"/>
      <c r="BC7" t="s">
        <v>116</v>
      </c>
      <c r="BD7"/>
      <c r="BE7"/>
      <c r="BF7" t="s">
        <v>116</v>
      </c>
      <c r="BG7"/>
      <c r="BH7"/>
      <c r="BI7" t="s">
        <v>116</v>
      </c>
      <c r="BJ7"/>
      <c r="BK7"/>
      <c r="BL7" s="8">
        <v>0</v>
      </c>
      <c r="BM7" s="8">
        <v>232.79</v>
      </c>
      <c r="BN7" s="8">
        <v>232.79</v>
      </c>
      <c r="BO7" s="8">
        <v>0</v>
      </c>
      <c r="BP7" s="8">
        <v>-232.79</v>
      </c>
      <c r="BQ7" s="8">
        <v>0</v>
      </c>
      <c r="BR7" s="8">
        <v>0</v>
      </c>
      <c r="BS7" s="8">
        <v>0</v>
      </c>
      <c r="BT7" s="8">
        <v>0</v>
      </c>
      <c r="BU7" s="8">
        <v>0</v>
      </c>
      <c r="BV7" s="8">
        <v>0</v>
      </c>
      <c r="BW7" s="8">
        <v>0</v>
      </c>
      <c r="BX7" s="8">
        <v>0</v>
      </c>
      <c r="BY7" t="s">
        <v>99</v>
      </c>
      <c r="BZ7" t="s">
        <v>123</v>
      </c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</row>
    <row r="8" spans="1:108" x14ac:dyDescent="0.25">
      <c r="A8" t="s">
        <v>99</v>
      </c>
      <c r="B8" t="s">
        <v>100</v>
      </c>
      <c r="C8" t="s">
        <v>5</v>
      </c>
      <c r="D8" t="s">
        <v>101</v>
      </c>
      <c r="E8" t="s">
        <v>102</v>
      </c>
      <c r="F8" t="s">
        <v>103</v>
      </c>
      <c r="G8" t="s">
        <v>104</v>
      </c>
      <c r="H8" t="s">
        <v>105</v>
      </c>
      <c r="I8" s="6" t="s">
        <v>106</v>
      </c>
      <c r="J8" s="6" t="s">
        <v>107</v>
      </c>
      <c r="K8" s="6" t="s">
        <v>108</v>
      </c>
      <c r="L8" s="6" t="s">
        <v>109</v>
      </c>
      <c r="M8" s="6" t="s">
        <v>110</v>
      </c>
      <c r="N8" s="6" t="s">
        <v>134</v>
      </c>
      <c r="O8" s="6" t="s">
        <v>112</v>
      </c>
      <c r="P8" s="6" t="s">
        <v>135</v>
      </c>
      <c r="Q8" s="6" t="s">
        <v>143</v>
      </c>
      <c r="R8" t="s">
        <v>112</v>
      </c>
      <c r="S8" t="s">
        <v>144</v>
      </c>
      <c r="T8"/>
      <c r="U8"/>
      <c r="V8" t="s">
        <v>116</v>
      </c>
      <c r="W8"/>
      <c r="X8"/>
      <c r="Y8" t="s">
        <v>116</v>
      </c>
      <c r="Z8"/>
      <c r="AA8"/>
      <c r="AB8" t="s">
        <v>116</v>
      </c>
      <c r="AC8"/>
      <c r="AD8"/>
      <c r="AE8" t="s">
        <v>116</v>
      </c>
      <c r="AF8" t="s">
        <v>117</v>
      </c>
      <c r="AG8" t="s">
        <v>118</v>
      </c>
      <c r="AH8" t="s">
        <v>119</v>
      </c>
      <c r="AI8" t="s">
        <v>120</v>
      </c>
      <c r="AJ8" t="s">
        <v>121</v>
      </c>
      <c r="AK8" t="s">
        <v>122</v>
      </c>
      <c r="AL8"/>
      <c r="AM8"/>
      <c r="AN8" t="s">
        <v>116</v>
      </c>
      <c r="AO8"/>
      <c r="AP8"/>
      <c r="AQ8" t="s">
        <v>116</v>
      </c>
      <c r="AR8"/>
      <c r="AS8"/>
      <c r="AT8" t="s">
        <v>116</v>
      </c>
      <c r="AU8"/>
      <c r="AV8"/>
      <c r="AW8" t="s">
        <v>116</v>
      </c>
      <c r="AX8"/>
      <c r="AY8"/>
      <c r="AZ8" t="s">
        <v>116</v>
      </c>
      <c r="BA8"/>
      <c r="BB8"/>
      <c r="BC8" t="s">
        <v>116</v>
      </c>
      <c r="BD8"/>
      <c r="BE8"/>
      <c r="BF8" t="s">
        <v>116</v>
      </c>
      <c r="BG8"/>
      <c r="BH8"/>
      <c r="BI8" t="s">
        <v>116</v>
      </c>
      <c r="BJ8"/>
      <c r="BK8"/>
      <c r="BL8" s="8">
        <v>3340</v>
      </c>
      <c r="BM8" s="8">
        <v>0</v>
      </c>
      <c r="BN8" s="8">
        <v>0</v>
      </c>
      <c r="BO8" s="8">
        <v>0</v>
      </c>
      <c r="BP8" s="8">
        <v>3340</v>
      </c>
      <c r="BQ8" s="8">
        <v>0</v>
      </c>
      <c r="BR8" s="8">
        <v>0</v>
      </c>
      <c r="BS8" s="8">
        <v>0</v>
      </c>
      <c r="BT8" s="8">
        <v>0</v>
      </c>
      <c r="BU8" s="8">
        <v>0</v>
      </c>
      <c r="BV8" s="8">
        <v>0</v>
      </c>
      <c r="BW8" s="8">
        <v>0</v>
      </c>
      <c r="BX8" s="8">
        <v>0</v>
      </c>
      <c r="BY8" t="s">
        <v>99</v>
      </c>
      <c r="BZ8" t="s">
        <v>123</v>
      </c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</row>
    <row r="9" spans="1:108" x14ac:dyDescent="0.25">
      <c r="A9" t="s">
        <v>99</v>
      </c>
      <c r="B9" t="s">
        <v>100</v>
      </c>
      <c r="C9" t="s">
        <v>5</v>
      </c>
      <c r="D9" t="s">
        <v>101</v>
      </c>
      <c r="E9" t="s">
        <v>102</v>
      </c>
      <c r="F9" t="s">
        <v>103</v>
      </c>
      <c r="G9" t="s">
        <v>104</v>
      </c>
      <c r="H9" t="s">
        <v>105</v>
      </c>
      <c r="I9" s="6" t="s">
        <v>106</v>
      </c>
      <c r="J9" s="6" t="s">
        <v>107</v>
      </c>
      <c r="K9" s="6" t="s">
        <v>108</v>
      </c>
      <c r="L9" s="6" t="s">
        <v>109</v>
      </c>
      <c r="M9" s="6" t="s">
        <v>110</v>
      </c>
      <c r="N9" s="6" t="s">
        <v>134</v>
      </c>
      <c r="O9" s="6" t="s">
        <v>112</v>
      </c>
      <c r="P9" s="6" t="s">
        <v>135</v>
      </c>
      <c r="Q9" s="6" t="s">
        <v>143</v>
      </c>
      <c r="R9" t="s">
        <v>112</v>
      </c>
      <c r="S9" t="s">
        <v>144</v>
      </c>
      <c r="T9"/>
      <c r="U9"/>
      <c r="V9" t="s">
        <v>116</v>
      </c>
      <c r="W9"/>
      <c r="X9"/>
      <c r="Y9" t="s">
        <v>116</v>
      </c>
      <c r="Z9"/>
      <c r="AA9"/>
      <c r="AB9" t="s">
        <v>116</v>
      </c>
      <c r="AC9"/>
      <c r="AD9"/>
      <c r="AE9" t="s">
        <v>116</v>
      </c>
      <c r="AF9" t="s">
        <v>117</v>
      </c>
      <c r="AG9" t="s">
        <v>118</v>
      </c>
      <c r="AH9" t="s">
        <v>119</v>
      </c>
      <c r="AI9" t="s">
        <v>120</v>
      </c>
      <c r="AJ9" t="s">
        <v>121</v>
      </c>
      <c r="AK9" t="s">
        <v>122</v>
      </c>
      <c r="AL9" t="s">
        <v>145</v>
      </c>
      <c r="AM9" t="s">
        <v>146</v>
      </c>
      <c r="AN9" t="s">
        <v>147</v>
      </c>
      <c r="AO9"/>
      <c r="AP9"/>
      <c r="AQ9" t="s">
        <v>116</v>
      </c>
      <c r="AR9"/>
      <c r="AS9"/>
      <c r="AT9" t="s">
        <v>116</v>
      </c>
      <c r="AU9"/>
      <c r="AV9"/>
      <c r="AW9" t="s">
        <v>116</v>
      </c>
      <c r="AX9"/>
      <c r="AY9"/>
      <c r="AZ9" t="s">
        <v>116</v>
      </c>
      <c r="BA9"/>
      <c r="BB9"/>
      <c r="BC9" t="s">
        <v>116</v>
      </c>
      <c r="BD9"/>
      <c r="BE9"/>
      <c r="BF9" t="s">
        <v>116</v>
      </c>
      <c r="BG9"/>
      <c r="BH9"/>
      <c r="BI9" t="s">
        <v>116</v>
      </c>
      <c r="BJ9"/>
      <c r="BK9"/>
      <c r="BL9" s="8">
        <v>0</v>
      </c>
      <c r="BM9" s="8">
        <v>3339.99</v>
      </c>
      <c r="BN9" s="8">
        <v>3339.99</v>
      </c>
      <c r="BO9" s="8">
        <v>0</v>
      </c>
      <c r="BP9" s="8">
        <v>-3339.99</v>
      </c>
      <c r="BQ9" s="8">
        <v>0</v>
      </c>
      <c r="BR9" s="8">
        <v>0</v>
      </c>
      <c r="BS9" s="8">
        <v>0</v>
      </c>
      <c r="BT9" s="8">
        <v>0</v>
      </c>
      <c r="BU9" s="8">
        <v>0</v>
      </c>
      <c r="BV9" s="8">
        <v>0</v>
      </c>
      <c r="BW9" s="8">
        <v>0</v>
      </c>
      <c r="BX9" s="8">
        <v>0</v>
      </c>
      <c r="BY9" t="s">
        <v>99</v>
      </c>
      <c r="BZ9" t="s">
        <v>123</v>
      </c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</row>
    <row r="10" spans="1:108" x14ac:dyDescent="0.25">
      <c r="A10" t="s">
        <v>99</v>
      </c>
      <c r="B10" t="s">
        <v>100</v>
      </c>
      <c r="C10" t="s">
        <v>5</v>
      </c>
      <c r="D10" t="s">
        <v>101</v>
      </c>
      <c r="E10" t="s">
        <v>102</v>
      </c>
      <c r="F10" t="s">
        <v>103</v>
      </c>
      <c r="G10" t="s">
        <v>104</v>
      </c>
      <c r="H10" t="s">
        <v>105</v>
      </c>
      <c r="I10" s="6" t="s">
        <v>106</v>
      </c>
      <c r="J10" s="6" t="s">
        <v>107</v>
      </c>
      <c r="K10" s="6" t="s">
        <v>108</v>
      </c>
      <c r="L10" s="6" t="s">
        <v>109</v>
      </c>
      <c r="M10" s="6" t="s">
        <v>110</v>
      </c>
      <c r="N10" s="6" t="s">
        <v>134</v>
      </c>
      <c r="O10" s="6" t="s">
        <v>112</v>
      </c>
      <c r="P10" s="6" t="s">
        <v>135</v>
      </c>
      <c r="Q10" s="6" t="s">
        <v>148</v>
      </c>
      <c r="R10" t="s">
        <v>112</v>
      </c>
      <c r="S10" t="s">
        <v>149</v>
      </c>
      <c r="T10"/>
      <c r="U10"/>
      <c r="V10" t="s">
        <v>116</v>
      </c>
      <c r="W10"/>
      <c r="X10"/>
      <c r="Y10" t="s">
        <v>116</v>
      </c>
      <c r="Z10"/>
      <c r="AA10"/>
      <c r="AB10" t="s">
        <v>116</v>
      </c>
      <c r="AC10"/>
      <c r="AD10"/>
      <c r="AE10" t="s">
        <v>116</v>
      </c>
      <c r="AF10" t="s">
        <v>117</v>
      </c>
      <c r="AG10" t="s">
        <v>118</v>
      </c>
      <c r="AH10" t="s">
        <v>119</v>
      </c>
      <c r="AI10" t="s">
        <v>120</v>
      </c>
      <c r="AJ10" t="s">
        <v>121</v>
      </c>
      <c r="AK10" t="s">
        <v>122</v>
      </c>
      <c r="AL10"/>
      <c r="AM10"/>
      <c r="AN10" t="s">
        <v>116</v>
      </c>
      <c r="AO10"/>
      <c r="AP10"/>
      <c r="AQ10" t="s">
        <v>116</v>
      </c>
      <c r="AR10"/>
      <c r="AS10"/>
      <c r="AT10" t="s">
        <v>116</v>
      </c>
      <c r="AU10"/>
      <c r="AV10"/>
      <c r="AW10" t="s">
        <v>116</v>
      </c>
      <c r="AX10"/>
      <c r="AY10"/>
      <c r="AZ10" t="s">
        <v>116</v>
      </c>
      <c r="BA10"/>
      <c r="BB10"/>
      <c r="BC10" t="s">
        <v>116</v>
      </c>
      <c r="BD10"/>
      <c r="BE10"/>
      <c r="BF10" t="s">
        <v>116</v>
      </c>
      <c r="BG10"/>
      <c r="BH10"/>
      <c r="BI10" t="s">
        <v>116</v>
      </c>
      <c r="BJ10"/>
      <c r="BK10"/>
      <c r="BL10" s="8">
        <v>2000</v>
      </c>
      <c r="BM10" s="8">
        <v>0</v>
      </c>
      <c r="BN10" s="8">
        <v>0</v>
      </c>
      <c r="BO10" s="8">
        <v>0</v>
      </c>
      <c r="BP10" s="8">
        <v>2000</v>
      </c>
      <c r="BQ10" s="8">
        <v>0</v>
      </c>
      <c r="BR10" s="8">
        <v>0</v>
      </c>
      <c r="BS10" s="8">
        <v>0</v>
      </c>
      <c r="BT10" s="8">
        <v>0</v>
      </c>
      <c r="BU10" s="8">
        <v>0</v>
      </c>
      <c r="BV10" s="8">
        <v>0</v>
      </c>
      <c r="BW10" s="8">
        <v>0</v>
      </c>
      <c r="BX10" s="8">
        <v>0</v>
      </c>
      <c r="BY10" t="s">
        <v>99</v>
      </c>
      <c r="BZ10" t="s">
        <v>123</v>
      </c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</row>
    <row r="11" spans="1:108" x14ac:dyDescent="0.25">
      <c r="A11" t="s">
        <v>99</v>
      </c>
      <c r="B11" t="s">
        <v>100</v>
      </c>
      <c r="C11" t="s">
        <v>5</v>
      </c>
      <c r="D11" t="s">
        <v>101</v>
      </c>
      <c r="E11" t="s">
        <v>102</v>
      </c>
      <c r="F11" t="s">
        <v>103</v>
      </c>
      <c r="G11" t="s">
        <v>104</v>
      </c>
      <c r="H11" t="s">
        <v>105</v>
      </c>
      <c r="I11" s="6" t="s">
        <v>106</v>
      </c>
      <c r="J11" s="6" t="s">
        <v>107</v>
      </c>
      <c r="K11" s="6" t="s">
        <v>108</v>
      </c>
      <c r="L11" s="6" t="s">
        <v>109</v>
      </c>
      <c r="M11" s="6" t="s">
        <v>110</v>
      </c>
      <c r="N11" s="6" t="s">
        <v>134</v>
      </c>
      <c r="O11" s="6" t="s">
        <v>112</v>
      </c>
      <c r="P11" s="6" t="s">
        <v>135</v>
      </c>
      <c r="Q11" s="6" t="s">
        <v>150</v>
      </c>
      <c r="R11" t="s">
        <v>112</v>
      </c>
      <c r="S11" t="s">
        <v>151</v>
      </c>
      <c r="T11"/>
      <c r="U11"/>
      <c r="V11" t="s">
        <v>116</v>
      </c>
      <c r="W11"/>
      <c r="X11"/>
      <c r="Y11" t="s">
        <v>116</v>
      </c>
      <c r="Z11"/>
      <c r="AA11"/>
      <c r="AB11" t="s">
        <v>116</v>
      </c>
      <c r="AC11"/>
      <c r="AD11"/>
      <c r="AE11" t="s">
        <v>116</v>
      </c>
      <c r="AF11" t="s">
        <v>117</v>
      </c>
      <c r="AG11" t="s">
        <v>118</v>
      </c>
      <c r="AH11" t="s">
        <v>119</v>
      </c>
      <c r="AI11" t="s">
        <v>120</v>
      </c>
      <c r="AJ11" t="s">
        <v>121</v>
      </c>
      <c r="AK11" t="s">
        <v>122</v>
      </c>
      <c r="AL11"/>
      <c r="AM11"/>
      <c r="AN11" t="s">
        <v>116</v>
      </c>
      <c r="AO11"/>
      <c r="AP11"/>
      <c r="AQ11" t="s">
        <v>116</v>
      </c>
      <c r="AR11"/>
      <c r="AS11"/>
      <c r="AT11" t="s">
        <v>116</v>
      </c>
      <c r="AU11"/>
      <c r="AV11"/>
      <c r="AW11" t="s">
        <v>116</v>
      </c>
      <c r="AX11"/>
      <c r="AY11"/>
      <c r="AZ11" t="s">
        <v>116</v>
      </c>
      <c r="BA11"/>
      <c r="BB11"/>
      <c r="BC11" t="s">
        <v>116</v>
      </c>
      <c r="BD11"/>
      <c r="BE11"/>
      <c r="BF11" t="s">
        <v>116</v>
      </c>
      <c r="BG11"/>
      <c r="BH11"/>
      <c r="BI11" t="s">
        <v>116</v>
      </c>
      <c r="BJ11"/>
      <c r="BK11"/>
      <c r="BL11" s="8">
        <v>500</v>
      </c>
      <c r="BM11" s="8">
        <v>0</v>
      </c>
      <c r="BN11" s="8">
        <v>0</v>
      </c>
      <c r="BO11" s="8">
        <v>0</v>
      </c>
      <c r="BP11" s="8">
        <v>500</v>
      </c>
      <c r="BQ11" s="8">
        <v>0</v>
      </c>
      <c r="BR11" s="8">
        <v>0</v>
      </c>
      <c r="BS11" s="8">
        <v>0</v>
      </c>
      <c r="BT11" s="8">
        <v>0</v>
      </c>
      <c r="BU11" s="8">
        <v>0</v>
      </c>
      <c r="BV11" s="8">
        <v>0</v>
      </c>
      <c r="BW11" s="8">
        <v>0</v>
      </c>
      <c r="BX11" s="8">
        <v>0</v>
      </c>
      <c r="BY11" t="s">
        <v>99</v>
      </c>
      <c r="BZ11" t="s">
        <v>123</v>
      </c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</row>
    <row r="12" spans="1:108" x14ac:dyDescent="0.25">
      <c r="A12" t="s">
        <v>99</v>
      </c>
      <c r="B12" t="s">
        <v>100</v>
      </c>
      <c r="C12" t="s">
        <v>5</v>
      </c>
      <c r="D12" t="s">
        <v>101</v>
      </c>
      <c r="E12" t="s">
        <v>102</v>
      </c>
      <c r="F12" t="s">
        <v>103</v>
      </c>
      <c r="G12" t="s">
        <v>104</v>
      </c>
      <c r="H12" t="s">
        <v>105</v>
      </c>
      <c r="I12" s="6" t="s">
        <v>106</v>
      </c>
      <c r="J12" s="6" t="s">
        <v>107</v>
      </c>
      <c r="K12" s="6" t="s">
        <v>108</v>
      </c>
      <c r="L12" s="6" t="s">
        <v>109</v>
      </c>
      <c r="M12" s="6" t="s">
        <v>110</v>
      </c>
      <c r="N12" s="6" t="s">
        <v>134</v>
      </c>
      <c r="O12" s="6" t="s">
        <v>112</v>
      </c>
      <c r="P12" s="6" t="s">
        <v>135</v>
      </c>
      <c r="Q12" s="6" t="s">
        <v>152</v>
      </c>
      <c r="R12" t="s">
        <v>112</v>
      </c>
      <c r="S12" t="s">
        <v>153</v>
      </c>
      <c r="T12"/>
      <c r="U12"/>
      <c r="V12" t="s">
        <v>116</v>
      </c>
      <c r="W12"/>
      <c r="X12"/>
      <c r="Y12" t="s">
        <v>116</v>
      </c>
      <c r="Z12"/>
      <c r="AA12"/>
      <c r="AB12" t="s">
        <v>116</v>
      </c>
      <c r="AC12"/>
      <c r="AD12"/>
      <c r="AE12" t="s">
        <v>116</v>
      </c>
      <c r="AF12" t="s">
        <v>117</v>
      </c>
      <c r="AG12" t="s">
        <v>118</v>
      </c>
      <c r="AH12" t="s">
        <v>119</v>
      </c>
      <c r="AI12" t="s">
        <v>120</v>
      </c>
      <c r="AJ12" t="s">
        <v>121</v>
      </c>
      <c r="AK12" t="s">
        <v>122</v>
      </c>
      <c r="AL12"/>
      <c r="AM12"/>
      <c r="AN12" t="s">
        <v>116</v>
      </c>
      <c r="AO12"/>
      <c r="AP12"/>
      <c r="AQ12" t="s">
        <v>116</v>
      </c>
      <c r="AR12"/>
      <c r="AS12"/>
      <c r="AT12" t="s">
        <v>116</v>
      </c>
      <c r="AU12"/>
      <c r="AV12"/>
      <c r="AW12" t="s">
        <v>116</v>
      </c>
      <c r="AX12"/>
      <c r="AY12"/>
      <c r="AZ12" t="s">
        <v>116</v>
      </c>
      <c r="BA12"/>
      <c r="BB12"/>
      <c r="BC12" t="s">
        <v>116</v>
      </c>
      <c r="BD12"/>
      <c r="BE12"/>
      <c r="BF12" t="s">
        <v>116</v>
      </c>
      <c r="BG12"/>
      <c r="BH12"/>
      <c r="BI12" t="s">
        <v>116</v>
      </c>
      <c r="BJ12"/>
      <c r="BK12"/>
      <c r="BL12" s="8">
        <v>8625.08</v>
      </c>
      <c r="BM12" s="8">
        <v>0</v>
      </c>
      <c r="BN12" s="8">
        <v>0</v>
      </c>
      <c r="BO12" s="8">
        <v>0</v>
      </c>
      <c r="BP12" s="8">
        <v>8625.08</v>
      </c>
      <c r="BQ12" s="8">
        <v>0</v>
      </c>
      <c r="BR12" s="8">
        <v>0</v>
      </c>
      <c r="BS12" s="8">
        <v>0</v>
      </c>
      <c r="BT12" s="8">
        <v>0</v>
      </c>
      <c r="BU12" s="8">
        <v>0</v>
      </c>
      <c r="BV12" s="8">
        <v>0</v>
      </c>
      <c r="BW12" s="8">
        <v>0</v>
      </c>
      <c r="BX12" s="8">
        <v>0</v>
      </c>
      <c r="BY12" t="s">
        <v>99</v>
      </c>
      <c r="BZ12" t="s">
        <v>123</v>
      </c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</row>
    <row r="13" spans="1:108" x14ac:dyDescent="0.25">
      <c r="A13" t="s">
        <v>99</v>
      </c>
      <c r="B13" t="s">
        <v>100</v>
      </c>
      <c r="C13" t="s">
        <v>5</v>
      </c>
      <c r="D13" t="s">
        <v>101</v>
      </c>
      <c r="E13" t="s">
        <v>102</v>
      </c>
      <c r="F13" t="s">
        <v>103</v>
      </c>
      <c r="G13" t="s">
        <v>104</v>
      </c>
      <c r="H13" t="s">
        <v>105</v>
      </c>
      <c r="I13" s="6" t="s">
        <v>106</v>
      </c>
      <c r="J13" s="6" t="s">
        <v>107</v>
      </c>
      <c r="K13" s="6" t="s">
        <v>108</v>
      </c>
      <c r="L13" s="6" t="s">
        <v>109</v>
      </c>
      <c r="M13" s="6" t="s">
        <v>110</v>
      </c>
      <c r="N13" s="6" t="s">
        <v>134</v>
      </c>
      <c r="O13" s="6" t="s">
        <v>112</v>
      </c>
      <c r="P13" s="6" t="s">
        <v>135</v>
      </c>
      <c r="Q13" s="6" t="s">
        <v>152</v>
      </c>
      <c r="R13" t="s">
        <v>112</v>
      </c>
      <c r="S13" t="s">
        <v>153</v>
      </c>
      <c r="T13"/>
      <c r="U13"/>
      <c r="V13" t="s">
        <v>116</v>
      </c>
      <c r="W13"/>
      <c r="X13"/>
      <c r="Y13" t="s">
        <v>116</v>
      </c>
      <c r="Z13"/>
      <c r="AA13"/>
      <c r="AB13" t="s">
        <v>116</v>
      </c>
      <c r="AC13"/>
      <c r="AD13"/>
      <c r="AE13" t="s">
        <v>116</v>
      </c>
      <c r="AF13" t="s">
        <v>117</v>
      </c>
      <c r="AG13" t="s">
        <v>118</v>
      </c>
      <c r="AH13" t="s">
        <v>119</v>
      </c>
      <c r="AI13" t="s">
        <v>120</v>
      </c>
      <c r="AJ13" t="s">
        <v>121</v>
      </c>
      <c r="AK13" t="s">
        <v>122</v>
      </c>
      <c r="AL13" t="s">
        <v>154</v>
      </c>
      <c r="AM13" t="s">
        <v>155</v>
      </c>
      <c r="AN13" t="s">
        <v>156</v>
      </c>
      <c r="AO13"/>
      <c r="AP13"/>
      <c r="AQ13" t="s">
        <v>116</v>
      </c>
      <c r="AR13"/>
      <c r="AS13"/>
      <c r="AT13" t="s">
        <v>116</v>
      </c>
      <c r="AU13"/>
      <c r="AV13"/>
      <c r="AW13" t="s">
        <v>116</v>
      </c>
      <c r="AX13"/>
      <c r="AY13"/>
      <c r="AZ13" t="s">
        <v>116</v>
      </c>
      <c r="BA13"/>
      <c r="BB13"/>
      <c r="BC13" t="s">
        <v>116</v>
      </c>
      <c r="BD13"/>
      <c r="BE13"/>
      <c r="BF13" t="s">
        <v>116</v>
      </c>
      <c r="BG13"/>
      <c r="BH13"/>
      <c r="BI13" t="s">
        <v>116</v>
      </c>
      <c r="BJ13"/>
      <c r="BK13"/>
      <c r="BL13" s="8">
        <v>0</v>
      </c>
      <c r="BM13" s="8">
        <v>8152.99</v>
      </c>
      <c r="BN13" s="8">
        <v>8152.99</v>
      </c>
      <c r="BO13" s="8">
        <v>0</v>
      </c>
      <c r="BP13" s="8">
        <v>-8152.99</v>
      </c>
      <c r="BQ13" s="8">
        <v>0</v>
      </c>
      <c r="BR13" s="8">
        <v>0</v>
      </c>
      <c r="BS13" s="8">
        <v>0</v>
      </c>
      <c r="BT13" s="8">
        <v>0</v>
      </c>
      <c r="BU13" s="8">
        <v>0</v>
      </c>
      <c r="BV13" s="8">
        <v>0</v>
      </c>
      <c r="BW13" s="8">
        <v>0</v>
      </c>
      <c r="BX13" s="8">
        <v>0</v>
      </c>
      <c r="BY13" t="s">
        <v>99</v>
      </c>
      <c r="BZ13" t="s">
        <v>123</v>
      </c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</row>
    <row r="14" spans="1:108" x14ac:dyDescent="0.25">
      <c r="A14" t="s">
        <v>99</v>
      </c>
      <c r="B14" t="s">
        <v>100</v>
      </c>
      <c r="C14" t="s">
        <v>5</v>
      </c>
      <c r="D14" t="s">
        <v>101</v>
      </c>
      <c r="E14" t="s">
        <v>102</v>
      </c>
      <c r="F14" t="s">
        <v>103</v>
      </c>
      <c r="G14" t="s">
        <v>104</v>
      </c>
      <c r="H14" t="s">
        <v>105</v>
      </c>
      <c r="I14" s="6" t="s">
        <v>106</v>
      </c>
      <c r="J14" s="6" t="s">
        <v>107</v>
      </c>
      <c r="K14" s="6" t="s">
        <v>108</v>
      </c>
      <c r="L14" s="6" t="s">
        <v>109</v>
      </c>
      <c r="M14" s="6" t="s">
        <v>110</v>
      </c>
      <c r="N14" s="6" t="s">
        <v>134</v>
      </c>
      <c r="O14" s="6" t="s">
        <v>112</v>
      </c>
      <c r="P14" s="6" t="s">
        <v>135</v>
      </c>
      <c r="Q14" s="6" t="s">
        <v>157</v>
      </c>
      <c r="R14" t="s">
        <v>112</v>
      </c>
      <c r="S14" t="s">
        <v>158</v>
      </c>
      <c r="T14"/>
      <c r="U14"/>
      <c r="V14" t="s">
        <v>116</v>
      </c>
      <c r="W14"/>
      <c r="X14"/>
      <c r="Y14" t="s">
        <v>116</v>
      </c>
      <c r="Z14"/>
      <c r="AA14"/>
      <c r="AB14" t="s">
        <v>116</v>
      </c>
      <c r="AC14"/>
      <c r="AD14"/>
      <c r="AE14" t="s">
        <v>116</v>
      </c>
      <c r="AF14" t="s">
        <v>117</v>
      </c>
      <c r="AG14" t="s">
        <v>118</v>
      </c>
      <c r="AH14" t="s">
        <v>119</v>
      </c>
      <c r="AI14" t="s">
        <v>120</v>
      </c>
      <c r="AJ14" t="s">
        <v>121</v>
      </c>
      <c r="AK14" t="s">
        <v>122</v>
      </c>
      <c r="AL14"/>
      <c r="AM14"/>
      <c r="AN14" t="s">
        <v>116</v>
      </c>
      <c r="AO14"/>
      <c r="AP14"/>
      <c r="AQ14" t="s">
        <v>116</v>
      </c>
      <c r="AR14"/>
      <c r="AS14"/>
      <c r="AT14" t="s">
        <v>116</v>
      </c>
      <c r="AU14"/>
      <c r="AV14"/>
      <c r="AW14" t="s">
        <v>116</v>
      </c>
      <c r="AX14"/>
      <c r="AY14"/>
      <c r="AZ14" t="s">
        <v>116</v>
      </c>
      <c r="BA14"/>
      <c r="BB14"/>
      <c r="BC14" t="s">
        <v>116</v>
      </c>
      <c r="BD14"/>
      <c r="BE14"/>
      <c r="BF14" t="s">
        <v>116</v>
      </c>
      <c r="BG14"/>
      <c r="BH14"/>
      <c r="BI14" t="s">
        <v>116</v>
      </c>
      <c r="BJ14"/>
      <c r="BK14"/>
      <c r="BL14" s="8">
        <v>1666.27</v>
      </c>
      <c r="BM14" s="8">
        <v>0</v>
      </c>
      <c r="BN14" s="8">
        <v>0</v>
      </c>
      <c r="BO14" s="8">
        <v>0</v>
      </c>
      <c r="BP14" s="8">
        <v>1666.27</v>
      </c>
      <c r="BQ14" s="8">
        <v>0</v>
      </c>
      <c r="BR14" s="8">
        <v>0</v>
      </c>
      <c r="BS14" s="8">
        <v>0</v>
      </c>
      <c r="BT14" s="8">
        <v>0</v>
      </c>
      <c r="BU14" s="8">
        <v>0</v>
      </c>
      <c r="BV14" s="8">
        <v>0</v>
      </c>
      <c r="BW14" s="8">
        <v>0</v>
      </c>
      <c r="BX14" s="8">
        <v>0</v>
      </c>
      <c r="BY14" t="s">
        <v>99</v>
      </c>
      <c r="BZ14" t="s">
        <v>123</v>
      </c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</row>
    <row r="15" spans="1:108" x14ac:dyDescent="0.25">
      <c r="A15" t="s">
        <v>99</v>
      </c>
      <c r="B15" t="s">
        <v>100</v>
      </c>
      <c r="C15" t="s">
        <v>5</v>
      </c>
      <c r="D15" t="s">
        <v>101</v>
      </c>
      <c r="E15" t="s">
        <v>102</v>
      </c>
      <c r="F15" t="s">
        <v>103</v>
      </c>
      <c r="G15" t="s">
        <v>104</v>
      </c>
      <c r="H15" t="s">
        <v>105</v>
      </c>
      <c r="I15" s="6" t="s">
        <v>106</v>
      </c>
      <c r="J15" s="6" t="s">
        <v>107</v>
      </c>
      <c r="K15" s="6" t="s">
        <v>108</v>
      </c>
      <c r="L15" s="6" t="s">
        <v>109</v>
      </c>
      <c r="M15" s="6" t="s">
        <v>110</v>
      </c>
      <c r="N15" s="6" t="s">
        <v>134</v>
      </c>
      <c r="O15" s="6" t="s">
        <v>112</v>
      </c>
      <c r="P15" s="6" t="s">
        <v>135</v>
      </c>
      <c r="Q15" s="6" t="s">
        <v>157</v>
      </c>
      <c r="R15" t="s">
        <v>112</v>
      </c>
      <c r="S15" t="s">
        <v>158</v>
      </c>
      <c r="T15"/>
      <c r="U15"/>
      <c r="V15" t="s">
        <v>116</v>
      </c>
      <c r="W15"/>
      <c r="X15"/>
      <c r="Y15" t="s">
        <v>116</v>
      </c>
      <c r="Z15"/>
      <c r="AA15"/>
      <c r="AB15" t="s">
        <v>116</v>
      </c>
      <c r="AC15"/>
      <c r="AD15"/>
      <c r="AE15" t="s">
        <v>116</v>
      </c>
      <c r="AF15" t="s">
        <v>117</v>
      </c>
      <c r="AG15" t="s">
        <v>118</v>
      </c>
      <c r="AH15" t="s">
        <v>119</v>
      </c>
      <c r="AI15" t="s">
        <v>120</v>
      </c>
      <c r="AJ15" t="s">
        <v>121</v>
      </c>
      <c r="AK15" t="s">
        <v>122</v>
      </c>
      <c r="AL15" t="s">
        <v>159</v>
      </c>
      <c r="AM15" t="s">
        <v>160</v>
      </c>
      <c r="AN15" t="s">
        <v>161</v>
      </c>
      <c r="AO15"/>
      <c r="AP15"/>
      <c r="AQ15" t="s">
        <v>116</v>
      </c>
      <c r="AR15"/>
      <c r="AS15"/>
      <c r="AT15" t="s">
        <v>116</v>
      </c>
      <c r="AU15"/>
      <c r="AV15"/>
      <c r="AW15" t="s">
        <v>116</v>
      </c>
      <c r="AX15"/>
      <c r="AY15"/>
      <c r="AZ15" t="s">
        <v>116</v>
      </c>
      <c r="BA15"/>
      <c r="BB15"/>
      <c r="BC15" t="s">
        <v>116</v>
      </c>
      <c r="BD15"/>
      <c r="BE15"/>
      <c r="BF15" t="s">
        <v>116</v>
      </c>
      <c r="BG15"/>
      <c r="BH15"/>
      <c r="BI15" t="s">
        <v>116</v>
      </c>
      <c r="BJ15"/>
      <c r="BK15"/>
      <c r="BL15" s="8">
        <v>0</v>
      </c>
      <c r="BM15" s="8">
        <v>1666.27</v>
      </c>
      <c r="BN15" s="8">
        <v>1666.27</v>
      </c>
      <c r="BO15" s="8">
        <v>0</v>
      </c>
      <c r="BP15" s="8">
        <v>-1666.27</v>
      </c>
      <c r="BQ15" s="8">
        <v>0</v>
      </c>
      <c r="BR15" s="8">
        <v>0</v>
      </c>
      <c r="BS15" s="8">
        <v>0</v>
      </c>
      <c r="BT15" s="8">
        <v>0</v>
      </c>
      <c r="BU15" s="8">
        <v>0</v>
      </c>
      <c r="BV15" s="8">
        <v>0</v>
      </c>
      <c r="BW15" s="8">
        <v>0</v>
      </c>
      <c r="BX15" s="8">
        <v>0</v>
      </c>
      <c r="BY15" t="s">
        <v>99</v>
      </c>
      <c r="BZ15" t="s">
        <v>123</v>
      </c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</row>
    <row r="16" spans="1:108" x14ac:dyDescent="0.25">
      <c r="A16" t="s">
        <v>99</v>
      </c>
      <c r="B16" t="s">
        <v>100</v>
      </c>
      <c r="C16" t="s">
        <v>5</v>
      </c>
      <c r="D16" t="s">
        <v>101</v>
      </c>
      <c r="E16" t="s">
        <v>102</v>
      </c>
      <c r="F16" t="s">
        <v>103</v>
      </c>
      <c r="G16" t="s">
        <v>104</v>
      </c>
      <c r="H16" t="s">
        <v>105</v>
      </c>
      <c r="I16" s="6" t="s">
        <v>106</v>
      </c>
      <c r="J16" s="6" t="s">
        <v>107</v>
      </c>
      <c r="K16" s="6" t="s">
        <v>108</v>
      </c>
      <c r="L16" s="6" t="s">
        <v>109</v>
      </c>
      <c r="M16" s="6" t="s">
        <v>110</v>
      </c>
      <c r="N16" s="6" t="s">
        <v>134</v>
      </c>
      <c r="O16" s="6" t="s">
        <v>112</v>
      </c>
      <c r="P16" s="6" t="s">
        <v>135</v>
      </c>
      <c r="Q16" s="6" t="s">
        <v>162</v>
      </c>
      <c r="R16" t="s">
        <v>112</v>
      </c>
      <c r="S16" t="s">
        <v>163</v>
      </c>
      <c r="T16"/>
      <c r="U16"/>
      <c r="V16" t="s">
        <v>116</v>
      </c>
      <c r="W16"/>
      <c r="X16"/>
      <c r="Y16" t="s">
        <v>116</v>
      </c>
      <c r="Z16"/>
      <c r="AA16"/>
      <c r="AB16" t="s">
        <v>116</v>
      </c>
      <c r="AC16"/>
      <c r="AD16"/>
      <c r="AE16" t="s">
        <v>116</v>
      </c>
      <c r="AF16" t="s">
        <v>117</v>
      </c>
      <c r="AG16" t="s">
        <v>118</v>
      </c>
      <c r="AH16" t="s">
        <v>119</v>
      </c>
      <c r="AI16" t="s">
        <v>120</v>
      </c>
      <c r="AJ16" t="s">
        <v>121</v>
      </c>
      <c r="AK16" t="s">
        <v>122</v>
      </c>
      <c r="AL16"/>
      <c r="AM16"/>
      <c r="AN16" t="s">
        <v>116</v>
      </c>
      <c r="AO16"/>
      <c r="AP16"/>
      <c r="AQ16" t="s">
        <v>116</v>
      </c>
      <c r="AR16"/>
      <c r="AS16"/>
      <c r="AT16" t="s">
        <v>116</v>
      </c>
      <c r="AU16"/>
      <c r="AV16"/>
      <c r="AW16" t="s">
        <v>116</v>
      </c>
      <c r="AX16"/>
      <c r="AY16"/>
      <c r="AZ16" t="s">
        <v>116</v>
      </c>
      <c r="BA16"/>
      <c r="BB16"/>
      <c r="BC16" t="s">
        <v>116</v>
      </c>
      <c r="BD16"/>
      <c r="BE16"/>
      <c r="BF16" t="s">
        <v>116</v>
      </c>
      <c r="BG16"/>
      <c r="BH16"/>
      <c r="BI16" t="s">
        <v>116</v>
      </c>
      <c r="BJ16"/>
      <c r="BK16"/>
      <c r="BL16" s="8">
        <v>4450</v>
      </c>
      <c r="BM16" s="8">
        <v>0</v>
      </c>
      <c r="BN16" s="8">
        <v>0</v>
      </c>
      <c r="BO16" s="8">
        <v>0</v>
      </c>
      <c r="BP16" s="8">
        <v>4450</v>
      </c>
      <c r="BQ16" s="8">
        <v>0</v>
      </c>
      <c r="BR16" s="8">
        <v>0</v>
      </c>
      <c r="BS16" s="8">
        <v>0</v>
      </c>
      <c r="BT16" s="8">
        <v>0</v>
      </c>
      <c r="BU16" s="8">
        <v>0</v>
      </c>
      <c r="BV16" s="8">
        <v>0</v>
      </c>
      <c r="BW16" s="8">
        <v>0</v>
      </c>
      <c r="BX16" s="8">
        <v>0</v>
      </c>
      <c r="BY16" t="s">
        <v>99</v>
      </c>
      <c r="BZ16" t="s">
        <v>123</v>
      </c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</row>
    <row r="17" spans="1:108" x14ac:dyDescent="0.25">
      <c r="A17" t="s">
        <v>99</v>
      </c>
      <c r="B17" t="s">
        <v>100</v>
      </c>
      <c r="C17" t="s">
        <v>5</v>
      </c>
      <c r="D17" t="s">
        <v>101</v>
      </c>
      <c r="E17" t="s">
        <v>102</v>
      </c>
      <c r="F17" t="s">
        <v>103</v>
      </c>
      <c r="G17" t="s">
        <v>104</v>
      </c>
      <c r="H17" t="s">
        <v>105</v>
      </c>
      <c r="I17" s="6" t="s">
        <v>106</v>
      </c>
      <c r="J17" s="6" t="s">
        <v>107</v>
      </c>
      <c r="K17" s="6" t="s">
        <v>108</v>
      </c>
      <c r="L17" s="6" t="s">
        <v>109</v>
      </c>
      <c r="M17" s="6" t="s">
        <v>110</v>
      </c>
      <c r="N17" s="6" t="s">
        <v>134</v>
      </c>
      <c r="O17" s="6" t="s">
        <v>112</v>
      </c>
      <c r="P17" s="6" t="s">
        <v>135</v>
      </c>
      <c r="Q17" s="6" t="s">
        <v>162</v>
      </c>
      <c r="R17" t="s">
        <v>112</v>
      </c>
      <c r="S17" t="s">
        <v>163</v>
      </c>
      <c r="T17"/>
      <c r="U17"/>
      <c r="V17" t="s">
        <v>116</v>
      </c>
      <c r="W17"/>
      <c r="X17"/>
      <c r="Y17" t="s">
        <v>116</v>
      </c>
      <c r="Z17"/>
      <c r="AA17"/>
      <c r="AB17" t="s">
        <v>116</v>
      </c>
      <c r="AC17"/>
      <c r="AD17"/>
      <c r="AE17" t="s">
        <v>116</v>
      </c>
      <c r="AF17" t="s">
        <v>117</v>
      </c>
      <c r="AG17" t="s">
        <v>118</v>
      </c>
      <c r="AH17" t="s">
        <v>119</v>
      </c>
      <c r="AI17" t="s">
        <v>120</v>
      </c>
      <c r="AJ17" t="s">
        <v>121</v>
      </c>
      <c r="AK17" t="s">
        <v>122</v>
      </c>
      <c r="AL17" t="s">
        <v>164</v>
      </c>
      <c r="AM17" t="s">
        <v>165</v>
      </c>
      <c r="AN17" t="s">
        <v>166</v>
      </c>
      <c r="AO17"/>
      <c r="AP17"/>
      <c r="AQ17" t="s">
        <v>116</v>
      </c>
      <c r="AR17"/>
      <c r="AS17"/>
      <c r="AT17" t="s">
        <v>116</v>
      </c>
      <c r="AU17"/>
      <c r="AV17"/>
      <c r="AW17" t="s">
        <v>116</v>
      </c>
      <c r="AX17"/>
      <c r="AY17"/>
      <c r="AZ17" t="s">
        <v>116</v>
      </c>
      <c r="BA17"/>
      <c r="BB17"/>
      <c r="BC17" t="s">
        <v>116</v>
      </c>
      <c r="BD17"/>
      <c r="BE17"/>
      <c r="BF17" t="s">
        <v>116</v>
      </c>
      <c r="BG17"/>
      <c r="BH17"/>
      <c r="BI17" t="s">
        <v>116</v>
      </c>
      <c r="BJ17"/>
      <c r="BK17"/>
      <c r="BL17" s="8">
        <v>0</v>
      </c>
      <c r="BM17" s="8">
        <v>1217.27</v>
      </c>
      <c r="BN17" s="8">
        <v>1217.27</v>
      </c>
      <c r="BO17" s="8">
        <v>0</v>
      </c>
      <c r="BP17" s="8">
        <v>-1217.27</v>
      </c>
      <c r="BQ17" s="8">
        <v>0</v>
      </c>
      <c r="BR17" s="8">
        <v>0</v>
      </c>
      <c r="BS17" s="8">
        <v>0</v>
      </c>
      <c r="BT17" s="8">
        <v>0</v>
      </c>
      <c r="BU17" s="8">
        <v>0</v>
      </c>
      <c r="BV17" s="8">
        <v>0</v>
      </c>
      <c r="BW17" s="8">
        <v>0</v>
      </c>
      <c r="BX17" s="8">
        <v>0</v>
      </c>
      <c r="BY17" t="s">
        <v>99</v>
      </c>
      <c r="BZ17" t="s">
        <v>123</v>
      </c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</row>
    <row r="18" spans="1:108" x14ac:dyDescent="0.25">
      <c r="A18" t="s">
        <v>99</v>
      </c>
      <c r="B18" t="s">
        <v>100</v>
      </c>
      <c r="C18" t="s">
        <v>5</v>
      </c>
      <c r="D18" t="s">
        <v>101</v>
      </c>
      <c r="E18" t="s">
        <v>102</v>
      </c>
      <c r="F18" t="s">
        <v>103</v>
      </c>
      <c r="G18" t="s">
        <v>104</v>
      </c>
      <c r="H18" t="s">
        <v>105</v>
      </c>
      <c r="I18" s="6" t="s">
        <v>106</v>
      </c>
      <c r="J18" s="6" t="s">
        <v>107</v>
      </c>
      <c r="K18" s="6" t="s">
        <v>108</v>
      </c>
      <c r="L18" s="6" t="s">
        <v>109</v>
      </c>
      <c r="M18" s="6" t="s">
        <v>110</v>
      </c>
      <c r="N18" s="6" t="s">
        <v>134</v>
      </c>
      <c r="O18" s="6" t="s">
        <v>112</v>
      </c>
      <c r="P18" s="6" t="s">
        <v>135</v>
      </c>
      <c r="Q18" s="6" t="s">
        <v>162</v>
      </c>
      <c r="R18" t="s">
        <v>112</v>
      </c>
      <c r="S18" t="s">
        <v>163</v>
      </c>
      <c r="T18"/>
      <c r="U18"/>
      <c r="V18" t="s">
        <v>116</v>
      </c>
      <c r="W18"/>
      <c r="X18"/>
      <c r="Y18" t="s">
        <v>116</v>
      </c>
      <c r="Z18"/>
      <c r="AA18"/>
      <c r="AB18" t="s">
        <v>116</v>
      </c>
      <c r="AC18"/>
      <c r="AD18"/>
      <c r="AE18" t="s">
        <v>116</v>
      </c>
      <c r="AF18" t="s">
        <v>117</v>
      </c>
      <c r="AG18" t="s">
        <v>118</v>
      </c>
      <c r="AH18" t="s">
        <v>119</v>
      </c>
      <c r="AI18" t="s">
        <v>120</v>
      </c>
      <c r="AJ18" t="s">
        <v>121</v>
      </c>
      <c r="AK18" t="s">
        <v>122</v>
      </c>
      <c r="AL18" t="s">
        <v>167</v>
      </c>
      <c r="AM18" t="s">
        <v>168</v>
      </c>
      <c r="AN18" t="s">
        <v>169</v>
      </c>
      <c r="AO18"/>
      <c r="AP18"/>
      <c r="AQ18" t="s">
        <v>116</v>
      </c>
      <c r="AR18"/>
      <c r="AS18"/>
      <c r="AT18" t="s">
        <v>116</v>
      </c>
      <c r="AU18"/>
      <c r="AV18"/>
      <c r="AW18" t="s">
        <v>116</v>
      </c>
      <c r="AX18"/>
      <c r="AY18"/>
      <c r="AZ18" t="s">
        <v>116</v>
      </c>
      <c r="BA18"/>
      <c r="BB18"/>
      <c r="BC18" t="s">
        <v>116</v>
      </c>
      <c r="BD18"/>
      <c r="BE18"/>
      <c r="BF18" t="s">
        <v>116</v>
      </c>
      <c r="BG18"/>
      <c r="BH18"/>
      <c r="BI18" t="s">
        <v>116</v>
      </c>
      <c r="BJ18"/>
      <c r="BK18"/>
      <c r="BL18" s="8">
        <v>0</v>
      </c>
      <c r="BM18" s="8">
        <v>2684.3</v>
      </c>
      <c r="BN18" s="8">
        <v>2684.3</v>
      </c>
      <c r="BO18" s="8">
        <v>0</v>
      </c>
      <c r="BP18" s="8">
        <v>-2684.3</v>
      </c>
      <c r="BQ18" s="8">
        <v>0</v>
      </c>
      <c r="BR18" s="8">
        <v>0</v>
      </c>
      <c r="BS18" s="8">
        <v>0</v>
      </c>
      <c r="BT18" s="8">
        <v>0</v>
      </c>
      <c r="BU18" s="8">
        <v>0</v>
      </c>
      <c r="BV18" s="8">
        <v>0</v>
      </c>
      <c r="BW18" s="8">
        <v>0</v>
      </c>
      <c r="BX18" s="8">
        <v>0</v>
      </c>
      <c r="BY18" t="s">
        <v>99</v>
      </c>
      <c r="BZ18" t="s">
        <v>123</v>
      </c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</row>
    <row r="19" spans="1:108" x14ac:dyDescent="0.25">
      <c r="A19" t="s">
        <v>99</v>
      </c>
      <c r="B19" t="s">
        <v>100</v>
      </c>
      <c r="C19" t="s">
        <v>5</v>
      </c>
      <c r="D19" t="s">
        <v>101</v>
      </c>
      <c r="E19" t="s">
        <v>102</v>
      </c>
      <c r="F19" t="s">
        <v>103</v>
      </c>
      <c r="G19" t="s">
        <v>104</v>
      </c>
      <c r="H19" t="s">
        <v>105</v>
      </c>
      <c r="I19" s="6" t="s">
        <v>106</v>
      </c>
      <c r="J19" s="6" t="s">
        <v>107</v>
      </c>
      <c r="K19" s="6" t="s">
        <v>108</v>
      </c>
      <c r="L19" s="6" t="s">
        <v>109</v>
      </c>
      <c r="M19" s="6" t="s">
        <v>110</v>
      </c>
      <c r="N19" s="6" t="s">
        <v>170</v>
      </c>
      <c r="O19" s="6" t="s">
        <v>112</v>
      </c>
      <c r="P19" s="6" t="s">
        <v>171</v>
      </c>
      <c r="Q19" s="6" t="s">
        <v>172</v>
      </c>
      <c r="R19" t="s">
        <v>112</v>
      </c>
      <c r="S19" t="s">
        <v>173</v>
      </c>
      <c r="T19"/>
      <c r="U19"/>
      <c r="V19" t="s">
        <v>116</v>
      </c>
      <c r="W19"/>
      <c r="X19"/>
      <c r="Y19" t="s">
        <v>116</v>
      </c>
      <c r="Z19"/>
      <c r="AA19"/>
      <c r="AB19" t="s">
        <v>116</v>
      </c>
      <c r="AC19"/>
      <c r="AD19"/>
      <c r="AE19" t="s">
        <v>116</v>
      </c>
      <c r="AF19" t="s">
        <v>117</v>
      </c>
      <c r="AG19" t="s">
        <v>118</v>
      </c>
      <c r="AH19" t="s">
        <v>119</v>
      </c>
      <c r="AI19" t="s">
        <v>120</v>
      </c>
      <c r="AJ19" t="s">
        <v>121</v>
      </c>
      <c r="AK19" t="s">
        <v>122</v>
      </c>
      <c r="AL19"/>
      <c r="AM19"/>
      <c r="AN19" t="s">
        <v>116</v>
      </c>
      <c r="AO19"/>
      <c r="AP19"/>
      <c r="AQ19" t="s">
        <v>116</v>
      </c>
      <c r="AR19"/>
      <c r="AS19"/>
      <c r="AT19" t="s">
        <v>116</v>
      </c>
      <c r="AU19"/>
      <c r="AV19"/>
      <c r="AW19" t="s">
        <v>116</v>
      </c>
      <c r="AX19"/>
      <c r="AY19"/>
      <c r="AZ19" t="s">
        <v>116</v>
      </c>
      <c r="BA19"/>
      <c r="BB19"/>
      <c r="BC19" t="s">
        <v>116</v>
      </c>
      <c r="BD19"/>
      <c r="BE19"/>
      <c r="BF19" t="s">
        <v>116</v>
      </c>
      <c r="BG19"/>
      <c r="BH19"/>
      <c r="BI19" t="s">
        <v>116</v>
      </c>
      <c r="BJ19"/>
      <c r="BK19"/>
      <c r="BL19" s="8">
        <v>1000</v>
      </c>
      <c r="BM19" s="8">
        <v>0</v>
      </c>
      <c r="BN19" s="8">
        <v>0</v>
      </c>
      <c r="BO19" s="8">
        <v>0</v>
      </c>
      <c r="BP19" s="8">
        <v>1000</v>
      </c>
      <c r="BQ19" s="8">
        <v>0</v>
      </c>
      <c r="BR19" s="8">
        <v>0</v>
      </c>
      <c r="BS19" s="8">
        <v>0</v>
      </c>
      <c r="BT19" s="8">
        <v>0</v>
      </c>
      <c r="BU19" s="8">
        <v>0</v>
      </c>
      <c r="BV19" s="8">
        <v>0</v>
      </c>
      <c r="BW19" s="8">
        <v>0</v>
      </c>
      <c r="BX19" s="8">
        <v>0</v>
      </c>
      <c r="BY19" t="s">
        <v>99</v>
      </c>
      <c r="BZ19" t="s">
        <v>123</v>
      </c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</row>
    <row r="20" spans="1:108" x14ac:dyDescent="0.25">
      <c r="A20" t="s">
        <v>99</v>
      </c>
      <c r="B20" t="s">
        <v>100</v>
      </c>
      <c r="C20" t="s">
        <v>5</v>
      </c>
      <c r="D20" t="s">
        <v>101</v>
      </c>
      <c r="E20" t="s">
        <v>102</v>
      </c>
      <c r="F20" t="s">
        <v>103</v>
      </c>
      <c r="G20" t="s">
        <v>104</v>
      </c>
      <c r="H20" t="s">
        <v>105</v>
      </c>
      <c r="I20" s="6" t="s">
        <v>106</v>
      </c>
      <c r="J20" s="6" t="s">
        <v>107</v>
      </c>
      <c r="K20" s="6" t="s">
        <v>108</v>
      </c>
      <c r="L20" s="6" t="s">
        <v>109</v>
      </c>
      <c r="M20" s="6" t="s">
        <v>110</v>
      </c>
      <c r="N20" s="6" t="s">
        <v>170</v>
      </c>
      <c r="O20" s="6" t="s">
        <v>112</v>
      </c>
      <c r="P20" s="6" t="s">
        <v>171</v>
      </c>
      <c r="Q20" s="6" t="s">
        <v>172</v>
      </c>
      <c r="R20" t="s">
        <v>112</v>
      </c>
      <c r="S20" t="s">
        <v>173</v>
      </c>
      <c r="T20"/>
      <c r="U20"/>
      <c r="V20" t="s">
        <v>116</v>
      </c>
      <c r="W20"/>
      <c r="X20"/>
      <c r="Y20" t="s">
        <v>116</v>
      </c>
      <c r="Z20"/>
      <c r="AA20"/>
      <c r="AB20" t="s">
        <v>116</v>
      </c>
      <c r="AC20"/>
      <c r="AD20"/>
      <c r="AE20" t="s">
        <v>116</v>
      </c>
      <c r="AF20" t="s">
        <v>117</v>
      </c>
      <c r="AG20" t="s">
        <v>118</v>
      </c>
      <c r="AH20" t="s">
        <v>119</v>
      </c>
      <c r="AI20" t="s">
        <v>120</v>
      </c>
      <c r="AJ20" t="s">
        <v>121</v>
      </c>
      <c r="AK20" t="s">
        <v>122</v>
      </c>
      <c r="AL20" t="s">
        <v>174</v>
      </c>
      <c r="AM20" t="s">
        <v>175</v>
      </c>
      <c r="AN20" t="s">
        <v>176</v>
      </c>
      <c r="AO20"/>
      <c r="AP20"/>
      <c r="AQ20" t="s">
        <v>116</v>
      </c>
      <c r="AR20"/>
      <c r="AS20"/>
      <c r="AT20" t="s">
        <v>116</v>
      </c>
      <c r="AU20"/>
      <c r="AV20"/>
      <c r="AW20" t="s">
        <v>116</v>
      </c>
      <c r="AX20"/>
      <c r="AY20"/>
      <c r="AZ20" t="s">
        <v>116</v>
      </c>
      <c r="BA20"/>
      <c r="BB20"/>
      <c r="BC20" t="s">
        <v>116</v>
      </c>
      <c r="BD20"/>
      <c r="BE20"/>
      <c r="BF20" t="s">
        <v>116</v>
      </c>
      <c r="BG20"/>
      <c r="BH20"/>
      <c r="BI20" t="s">
        <v>116</v>
      </c>
      <c r="BJ20"/>
      <c r="BK20"/>
      <c r="BL20" s="8">
        <v>0</v>
      </c>
      <c r="BM20" s="8">
        <v>783.36</v>
      </c>
      <c r="BN20" s="8">
        <v>783.36</v>
      </c>
      <c r="BO20" s="8">
        <v>0</v>
      </c>
      <c r="BP20" s="8">
        <v>-783.36</v>
      </c>
      <c r="BQ20" s="8">
        <v>0</v>
      </c>
      <c r="BR20" s="8">
        <v>0</v>
      </c>
      <c r="BS20" s="8">
        <v>0</v>
      </c>
      <c r="BT20" s="8">
        <v>0</v>
      </c>
      <c r="BU20" s="8">
        <v>0</v>
      </c>
      <c r="BV20" s="8">
        <v>0</v>
      </c>
      <c r="BW20" s="8">
        <v>0</v>
      </c>
      <c r="BX20" s="8">
        <v>0</v>
      </c>
      <c r="BY20" t="s">
        <v>99</v>
      </c>
      <c r="BZ20" t="s">
        <v>123</v>
      </c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</row>
    <row r="21" spans="1:108" x14ac:dyDescent="0.25">
      <c r="A21" t="s">
        <v>99</v>
      </c>
      <c r="B21" t="s">
        <v>100</v>
      </c>
      <c r="C21" t="s">
        <v>5</v>
      </c>
      <c r="D21" t="s">
        <v>101</v>
      </c>
      <c r="E21" t="s">
        <v>102</v>
      </c>
      <c r="F21" t="s">
        <v>103</v>
      </c>
      <c r="G21" t="s">
        <v>104</v>
      </c>
      <c r="H21" t="s">
        <v>105</v>
      </c>
      <c r="I21" s="6" t="s">
        <v>106</v>
      </c>
      <c r="J21" s="6" t="s">
        <v>107</v>
      </c>
      <c r="K21" s="6" t="s">
        <v>108</v>
      </c>
      <c r="L21" s="6" t="s">
        <v>109</v>
      </c>
      <c r="M21" s="6" t="s">
        <v>110</v>
      </c>
      <c r="N21" s="6" t="s">
        <v>170</v>
      </c>
      <c r="O21" s="6" t="s">
        <v>112</v>
      </c>
      <c r="P21" s="6" t="s">
        <v>171</v>
      </c>
      <c r="Q21" s="6" t="s">
        <v>177</v>
      </c>
      <c r="R21" t="s">
        <v>112</v>
      </c>
      <c r="S21" t="s">
        <v>178</v>
      </c>
      <c r="T21"/>
      <c r="U21"/>
      <c r="V21" t="s">
        <v>116</v>
      </c>
      <c r="W21"/>
      <c r="X21"/>
      <c r="Y21" t="s">
        <v>116</v>
      </c>
      <c r="Z21"/>
      <c r="AA21"/>
      <c r="AB21" t="s">
        <v>116</v>
      </c>
      <c r="AC21"/>
      <c r="AD21"/>
      <c r="AE21" t="s">
        <v>116</v>
      </c>
      <c r="AF21" t="s">
        <v>117</v>
      </c>
      <c r="AG21" t="s">
        <v>118</v>
      </c>
      <c r="AH21" t="s">
        <v>119</v>
      </c>
      <c r="AI21" t="s">
        <v>120</v>
      </c>
      <c r="AJ21" t="s">
        <v>121</v>
      </c>
      <c r="AK21" t="s">
        <v>122</v>
      </c>
      <c r="AL21"/>
      <c r="AM21"/>
      <c r="AN21" t="s">
        <v>116</v>
      </c>
      <c r="AO21"/>
      <c r="AP21"/>
      <c r="AQ21" t="s">
        <v>116</v>
      </c>
      <c r="AR21"/>
      <c r="AS21"/>
      <c r="AT21" t="s">
        <v>116</v>
      </c>
      <c r="AU21"/>
      <c r="AV21"/>
      <c r="AW21" t="s">
        <v>116</v>
      </c>
      <c r="AX21"/>
      <c r="AY21"/>
      <c r="AZ21" t="s">
        <v>116</v>
      </c>
      <c r="BA21"/>
      <c r="BB21"/>
      <c r="BC21" t="s">
        <v>116</v>
      </c>
      <c r="BD21"/>
      <c r="BE21"/>
      <c r="BF21" t="s">
        <v>116</v>
      </c>
      <c r="BG21"/>
      <c r="BH21"/>
      <c r="BI21" t="s">
        <v>116</v>
      </c>
      <c r="BJ21"/>
      <c r="BK21"/>
      <c r="BL21" s="8">
        <v>6000</v>
      </c>
      <c r="BM21" s="8">
        <v>0</v>
      </c>
      <c r="BN21" s="8">
        <v>0</v>
      </c>
      <c r="BO21" s="8">
        <v>0</v>
      </c>
      <c r="BP21" s="8">
        <v>6000</v>
      </c>
      <c r="BQ21" s="8">
        <v>0</v>
      </c>
      <c r="BR21" s="8">
        <v>0</v>
      </c>
      <c r="BS21" s="8">
        <v>0</v>
      </c>
      <c r="BT21" s="8">
        <v>0</v>
      </c>
      <c r="BU21" s="8">
        <v>0</v>
      </c>
      <c r="BV21" s="8">
        <v>0</v>
      </c>
      <c r="BW21" s="8">
        <v>0</v>
      </c>
      <c r="BX21" s="8">
        <v>0</v>
      </c>
      <c r="BY21" t="s">
        <v>99</v>
      </c>
      <c r="BZ21" t="s">
        <v>123</v>
      </c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</row>
    <row r="22" spans="1:108" x14ac:dyDescent="0.25">
      <c r="A22" t="s">
        <v>99</v>
      </c>
      <c r="B22" t="s">
        <v>100</v>
      </c>
      <c r="C22" t="s">
        <v>5</v>
      </c>
      <c r="D22" t="s">
        <v>101</v>
      </c>
      <c r="E22" t="s">
        <v>102</v>
      </c>
      <c r="F22" t="s">
        <v>103</v>
      </c>
      <c r="G22" t="s">
        <v>104</v>
      </c>
      <c r="H22" t="s">
        <v>105</v>
      </c>
      <c r="I22" s="6" t="s">
        <v>106</v>
      </c>
      <c r="J22" s="6" t="s">
        <v>107</v>
      </c>
      <c r="K22" s="6" t="s">
        <v>108</v>
      </c>
      <c r="L22" s="6" t="s">
        <v>109</v>
      </c>
      <c r="M22" s="6" t="s">
        <v>110</v>
      </c>
      <c r="N22" s="6" t="s">
        <v>170</v>
      </c>
      <c r="O22" s="6" t="s">
        <v>112</v>
      </c>
      <c r="P22" s="6" t="s">
        <v>171</v>
      </c>
      <c r="Q22" s="6" t="s">
        <v>177</v>
      </c>
      <c r="R22" t="s">
        <v>112</v>
      </c>
      <c r="S22" t="s">
        <v>178</v>
      </c>
      <c r="T22"/>
      <c r="U22"/>
      <c r="V22" t="s">
        <v>116</v>
      </c>
      <c r="W22"/>
      <c r="X22"/>
      <c r="Y22" t="s">
        <v>116</v>
      </c>
      <c r="Z22"/>
      <c r="AA22"/>
      <c r="AB22" t="s">
        <v>116</v>
      </c>
      <c r="AC22"/>
      <c r="AD22"/>
      <c r="AE22" t="s">
        <v>116</v>
      </c>
      <c r="AF22" t="s">
        <v>117</v>
      </c>
      <c r="AG22" t="s">
        <v>118</v>
      </c>
      <c r="AH22" t="s">
        <v>119</v>
      </c>
      <c r="AI22" t="s">
        <v>120</v>
      </c>
      <c r="AJ22" t="s">
        <v>121</v>
      </c>
      <c r="AK22" t="s">
        <v>122</v>
      </c>
      <c r="AL22" t="s">
        <v>179</v>
      </c>
      <c r="AM22" t="s">
        <v>180</v>
      </c>
      <c r="AN22" t="s">
        <v>181</v>
      </c>
      <c r="AO22"/>
      <c r="AP22"/>
      <c r="AQ22" t="s">
        <v>116</v>
      </c>
      <c r="AR22"/>
      <c r="AS22"/>
      <c r="AT22" t="s">
        <v>116</v>
      </c>
      <c r="AU22"/>
      <c r="AV22"/>
      <c r="AW22" t="s">
        <v>116</v>
      </c>
      <c r="AX22"/>
      <c r="AY22"/>
      <c r="AZ22" t="s">
        <v>116</v>
      </c>
      <c r="BA22"/>
      <c r="BB22"/>
      <c r="BC22" t="s">
        <v>116</v>
      </c>
      <c r="BD22"/>
      <c r="BE22"/>
      <c r="BF22" t="s">
        <v>116</v>
      </c>
      <c r="BG22"/>
      <c r="BH22"/>
      <c r="BI22" t="s">
        <v>116</v>
      </c>
      <c r="BJ22"/>
      <c r="BK22"/>
      <c r="BL22" s="8">
        <v>0</v>
      </c>
      <c r="BM22" s="8">
        <v>1120</v>
      </c>
      <c r="BN22" s="8">
        <v>1120</v>
      </c>
      <c r="BO22" s="8">
        <v>0</v>
      </c>
      <c r="BP22" s="8">
        <v>-1120</v>
      </c>
      <c r="BQ22" s="8">
        <v>0</v>
      </c>
      <c r="BR22" s="8">
        <v>0</v>
      </c>
      <c r="BS22" s="8">
        <v>0</v>
      </c>
      <c r="BT22" s="8">
        <v>0</v>
      </c>
      <c r="BU22" s="8">
        <v>0</v>
      </c>
      <c r="BV22" s="8">
        <v>0</v>
      </c>
      <c r="BW22" s="8">
        <v>0</v>
      </c>
      <c r="BX22" s="8">
        <v>0</v>
      </c>
      <c r="BY22" t="s">
        <v>99</v>
      </c>
      <c r="BZ22" t="s">
        <v>123</v>
      </c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</row>
    <row r="23" spans="1:108" x14ac:dyDescent="0.25">
      <c r="A23" t="s">
        <v>99</v>
      </c>
      <c r="B23" t="s">
        <v>100</v>
      </c>
      <c r="C23" t="s">
        <v>5</v>
      </c>
      <c r="D23" t="s">
        <v>101</v>
      </c>
      <c r="E23" t="s">
        <v>102</v>
      </c>
      <c r="F23" t="s">
        <v>103</v>
      </c>
      <c r="G23" t="s">
        <v>104</v>
      </c>
      <c r="H23" t="s">
        <v>105</v>
      </c>
      <c r="I23" s="6" t="s">
        <v>106</v>
      </c>
      <c r="J23" s="6" t="s">
        <v>107</v>
      </c>
      <c r="K23" s="6" t="s">
        <v>108</v>
      </c>
      <c r="L23" s="6" t="s">
        <v>109</v>
      </c>
      <c r="M23" s="6" t="s">
        <v>110</v>
      </c>
      <c r="N23" s="6" t="s">
        <v>170</v>
      </c>
      <c r="O23" s="6" t="s">
        <v>112</v>
      </c>
      <c r="P23" s="6" t="s">
        <v>171</v>
      </c>
      <c r="Q23" s="6" t="s">
        <v>177</v>
      </c>
      <c r="R23" t="s">
        <v>112</v>
      </c>
      <c r="S23" t="s">
        <v>178</v>
      </c>
      <c r="T23"/>
      <c r="U23"/>
      <c r="V23" t="s">
        <v>116</v>
      </c>
      <c r="W23"/>
      <c r="X23"/>
      <c r="Y23" t="s">
        <v>116</v>
      </c>
      <c r="Z23"/>
      <c r="AA23"/>
      <c r="AB23" t="s">
        <v>116</v>
      </c>
      <c r="AC23"/>
      <c r="AD23"/>
      <c r="AE23" t="s">
        <v>116</v>
      </c>
      <c r="AF23" t="s">
        <v>117</v>
      </c>
      <c r="AG23" t="s">
        <v>118</v>
      </c>
      <c r="AH23" t="s">
        <v>119</v>
      </c>
      <c r="AI23" t="s">
        <v>120</v>
      </c>
      <c r="AJ23" t="s">
        <v>121</v>
      </c>
      <c r="AK23" t="s">
        <v>122</v>
      </c>
      <c r="AL23" t="s">
        <v>140</v>
      </c>
      <c r="AM23" t="s">
        <v>141</v>
      </c>
      <c r="AN23" t="s">
        <v>142</v>
      </c>
      <c r="AO23"/>
      <c r="AP23"/>
      <c r="AQ23" t="s">
        <v>116</v>
      </c>
      <c r="AR23"/>
      <c r="AS23"/>
      <c r="AT23" t="s">
        <v>116</v>
      </c>
      <c r="AU23"/>
      <c r="AV23"/>
      <c r="AW23" t="s">
        <v>116</v>
      </c>
      <c r="AX23"/>
      <c r="AY23"/>
      <c r="AZ23" t="s">
        <v>116</v>
      </c>
      <c r="BA23"/>
      <c r="BB23"/>
      <c r="BC23" t="s">
        <v>116</v>
      </c>
      <c r="BD23"/>
      <c r="BE23"/>
      <c r="BF23" t="s">
        <v>116</v>
      </c>
      <c r="BG23"/>
      <c r="BH23"/>
      <c r="BI23" t="s">
        <v>116</v>
      </c>
      <c r="BJ23"/>
      <c r="BK23"/>
      <c r="BL23" s="8">
        <v>0</v>
      </c>
      <c r="BM23" s="8">
        <v>1027.77</v>
      </c>
      <c r="BN23" s="8">
        <v>1027.77</v>
      </c>
      <c r="BO23" s="8">
        <v>0</v>
      </c>
      <c r="BP23" s="8">
        <v>-1027.77</v>
      </c>
      <c r="BQ23" s="8">
        <v>0</v>
      </c>
      <c r="BR23" s="8">
        <v>0</v>
      </c>
      <c r="BS23" s="8">
        <v>0</v>
      </c>
      <c r="BT23" s="8">
        <v>0</v>
      </c>
      <c r="BU23" s="8">
        <v>0</v>
      </c>
      <c r="BV23" s="8">
        <v>0</v>
      </c>
      <c r="BW23" s="8">
        <v>0</v>
      </c>
      <c r="BX23" s="8">
        <v>0</v>
      </c>
      <c r="BY23" t="s">
        <v>99</v>
      </c>
      <c r="BZ23" t="s">
        <v>123</v>
      </c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</row>
    <row r="24" spans="1:108" x14ac:dyDescent="0.25">
      <c r="A24" t="s">
        <v>99</v>
      </c>
      <c r="B24" t="s">
        <v>100</v>
      </c>
      <c r="C24" t="s">
        <v>5</v>
      </c>
      <c r="D24" t="s">
        <v>101</v>
      </c>
      <c r="E24" t="s">
        <v>102</v>
      </c>
      <c r="F24" t="s">
        <v>103</v>
      </c>
      <c r="G24" t="s">
        <v>104</v>
      </c>
      <c r="H24" t="s">
        <v>105</v>
      </c>
      <c r="I24" s="6" t="s">
        <v>106</v>
      </c>
      <c r="J24" s="6" t="s">
        <v>107</v>
      </c>
      <c r="K24" s="6" t="s">
        <v>108</v>
      </c>
      <c r="L24" s="6" t="s">
        <v>109</v>
      </c>
      <c r="M24" s="6" t="s">
        <v>110</v>
      </c>
      <c r="N24" s="6" t="s">
        <v>170</v>
      </c>
      <c r="O24" s="6" t="s">
        <v>112</v>
      </c>
      <c r="P24" s="6" t="s">
        <v>171</v>
      </c>
      <c r="Q24" s="6" t="s">
        <v>177</v>
      </c>
      <c r="R24" t="s">
        <v>112</v>
      </c>
      <c r="S24" t="s">
        <v>178</v>
      </c>
      <c r="T24"/>
      <c r="U24"/>
      <c r="V24" t="s">
        <v>116</v>
      </c>
      <c r="W24"/>
      <c r="X24"/>
      <c r="Y24" t="s">
        <v>116</v>
      </c>
      <c r="Z24"/>
      <c r="AA24"/>
      <c r="AB24" t="s">
        <v>116</v>
      </c>
      <c r="AC24"/>
      <c r="AD24"/>
      <c r="AE24" t="s">
        <v>116</v>
      </c>
      <c r="AF24" t="s">
        <v>117</v>
      </c>
      <c r="AG24" t="s">
        <v>118</v>
      </c>
      <c r="AH24" t="s">
        <v>119</v>
      </c>
      <c r="AI24" t="s">
        <v>120</v>
      </c>
      <c r="AJ24" t="s">
        <v>121</v>
      </c>
      <c r="AK24" t="s">
        <v>122</v>
      </c>
      <c r="AL24" t="s">
        <v>182</v>
      </c>
      <c r="AM24" t="s">
        <v>183</v>
      </c>
      <c r="AN24" t="s">
        <v>184</v>
      </c>
      <c r="AO24"/>
      <c r="AP24"/>
      <c r="AQ24" t="s">
        <v>116</v>
      </c>
      <c r="AR24"/>
      <c r="AS24"/>
      <c r="AT24" t="s">
        <v>116</v>
      </c>
      <c r="AU24"/>
      <c r="AV24"/>
      <c r="AW24" t="s">
        <v>116</v>
      </c>
      <c r="AX24"/>
      <c r="AY24"/>
      <c r="AZ24" t="s">
        <v>116</v>
      </c>
      <c r="BA24"/>
      <c r="BB24"/>
      <c r="BC24" t="s">
        <v>116</v>
      </c>
      <c r="BD24"/>
      <c r="BE24"/>
      <c r="BF24" t="s">
        <v>116</v>
      </c>
      <c r="BG24"/>
      <c r="BH24"/>
      <c r="BI24" t="s">
        <v>116</v>
      </c>
      <c r="BJ24"/>
      <c r="BK24"/>
      <c r="BL24" s="8">
        <v>0</v>
      </c>
      <c r="BM24" s="8">
        <v>2430.0500000000002</v>
      </c>
      <c r="BN24" s="8">
        <v>2430.0500000000002</v>
      </c>
      <c r="BO24" s="8">
        <v>0</v>
      </c>
      <c r="BP24" s="8">
        <v>-2430.0500000000002</v>
      </c>
      <c r="BQ24" s="8">
        <v>0</v>
      </c>
      <c r="BR24" s="8">
        <v>0</v>
      </c>
      <c r="BS24" s="8">
        <v>0</v>
      </c>
      <c r="BT24" s="8">
        <v>0</v>
      </c>
      <c r="BU24" s="8">
        <v>0</v>
      </c>
      <c r="BV24" s="8">
        <v>0</v>
      </c>
      <c r="BW24" s="8">
        <v>0</v>
      </c>
      <c r="BX24" s="8">
        <v>0</v>
      </c>
      <c r="BY24" t="s">
        <v>99</v>
      </c>
      <c r="BZ24" t="s">
        <v>123</v>
      </c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</row>
    <row r="25" spans="1:108" x14ac:dyDescent="0.25">
      <c r="A25" t="s">
        <v>99</v>
      </c>
      <c r="B25" t="s">
        <v>100</v>
      </c>
      <c r="C25" t="s">
        <v>5</v>
      </c>
      <c r="D25" t="s">
        <v>101</v>
      </c>
      <c r="E25" t="s">
        <v>102</v>
      </c>
      <c r="F25" t="s">
        <v>103</v>
      </c>
      <c r="G25" t="s">
        <v>104</v>
      </c>
      <c r="H25" t="s">
        <v>105</v>
      </c>
      <c r="I25" s="6" t="s">
        <v>106</v>
      </c>
      <c r="J25" s="6" t="s">
        <v>107</v>
      </c>
      <c r="K25" s="6" t="s">
        <v>108</v>
      </c>
      <c r="L25" s="6" t="s">
        <v>109</v>
      </c>
      <c r="M25" s="6" t="s">
        <v>110</v>
      </c>
      <c r="N25" s="6" t="s">
        <v>170</v>
      </c>
      <c r="O25" s="6" t="s">
        <v>112</v>
      </c>
      <c r="P25" s="6" t="s">
        <v>171</v>
      </c>
      <c r="Q25" s="6" t="s">
        <v>185</v>
      </c>
      <c r="R25" t="s">
        <v>112</v>
      </c>
      <c r="S25" t="s">
        <v>186</v>
      </c>
      <c r="T25"/>
      <c r="U25"/>
      <c r="V25" t="s">
        <v>116</v>
      </c>
      <c r="W25"/>
      <c r="X25"/>
      <c r="Y25" t="s">
        <v>116</v>
      </c>
      <c r="Z25"/>
      <c r="AA25"/>
      <c r="AB25" t="s">
        <v>116</v>
      </c>
      <c r="AC25"/>
      <c r="AD25"/>
      <c r="AE25" t="s">
        <v>116</v>
      </c>
      <c r="AF25" t="s">
        <v>117</v>
      </c>
      <c r="AG25" t="s">
        <v>118</v>
      </c>
      <c r="AH25" t="s">
        <v>119</v>
      </c>
      <c r="AI25" t="s">
        <v>120</v>
      </c>
      <c r="AJ25" t="s">
        <v>121</v>
      </c>
      <c r="AK25" t="s">
        <v>122</v>
      </c>
      <c r="AL25"/>
      <c r="AM25"/>
      <c r="AN25" t="s">
        <v>116</v>
      </c>
      <c r="AO25"/>
      <c r="AP25"/>
      <c r="AQ25" t="s">
        <v>116</v>
      </c>
      <c r="AR25"/>
      <c r="AS25"/>
      <c r="AT25" t="s">
        <v>116</v>
      </c>
      <c r="AU25"/>
      <c r="AV25"/>
      <c r="AW25" t="s">
        <v>116</v>
      </c>
      <c r="AX25"/>
      <c r="AY25"/>
      <c r="AZ25" t="s">
        <v>116</v>
      </c>
      <c r="BA25"/>
      <c r="BB25"/>
      <c r="BC25" t="s">
        <v>116</v>
      </c>
      <c r="BD25"/>
      <c r="BE25"/>
      <c r="BF25" t="s">
        <v>116</v>
      </c>
      <c r="BG25"/>
      <c r="BH25"/>
      <c r="BI25" t="s">
        <v>116</v>
      </c>
      <c r="BJ25"/>
      <c r="BK25"/>
      <c r="BL25" s="8">
        <v>4000</v>
      </c>
      <c r="BM25" s="8">
        <v>0</v>
      </c>
      <c r="BN25" s="8">
        <v>0</v>
      </c>
      <c r="BO25" s="8">
        <v>0</v>
      </c>
      <c r="BP25" s="8">
        <v>4000</v>
      </c>
      <c r="BQ25" s="8">
        <v>0</v>
      </c>
      <c r="BR25" s="8">
        <v>0</v>
      </c>
      <c r="BS25" s="8">
        <v>0</v>
      </c>
      <c r="BT25" s="8">
        <v>0</v>
      </c>
      <c r="BU25" s="8">
        <v>0</v>
      </c>
      <c r="BV25" s="8">
        <v>0</v>
      </c>
      <c r="BW25" s="8">
        <v>0</v>
      </c>
      <c r="BX25" s="8">
        <v>0</v>
      </c>
      <c r="BY25" t="s">
        <v>99</v>
      </c>
      <c r="BZ25" t="s">
        <v>123</v>
      </c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</row>
    <row r="26" spans="1:108" x14ac:dyDescent="0.25">
      <c r="A26" t="s">
        <v>99</v>
      </c>
      <c r="B26" t="s">
        <v>100</v>
      </c>
      <c r="C26" t="s">
        <v>5</v>
      </c>
      <c r="D26" t="s">
        <v>101</v>
      </c>
      <c r="E26" t="s">
        <v>102</v>
      </c>
      <c r="F26" t="s">
        <v>103</v>
      </c>
      <c r="G26" t="s">
        <v>104</v>
      </c>
      <c r="H26" t="s">
        <v>105</v>
      </c>
      <c r="I26" s="6" t="s">
        <v>106</v>
      </c>
      <c r="J26" s="6" t="s">
        <v>107</v>
      </c>
      <c r="K26" s="6" t="s">
        <v>108</v>
      </c>
      <c r="L26" s="6" t="s">
        <v>109</v>
      </c>
      <c r="M26" s="6" t="s">
        <v>110</v>
      </c>
      <c r="N26" s="6" t="s">
        <v>170</v>
      </c>
      <c r="O26" s="6" t="s">
        <v>112</v>
      </c>
      <c r="P26" s="6" t="s">
        <v>171</v>
      </c>
      <c r="Q26" s="6" t="s">
        <v>185</v>
      </c>
      <c r="R26" t="s">
        <v>112</v>
      </c>
      <c r="S26" t="s">
        <v>186</v>
      </c>
      <c r="T26"/>
      <c r="U26"/>
      <c r="V26" t="s">
        <v>116</v>
      </c>
      <c r="W26"/>
      <c r="X26"/>
      <c r="Y26" t="s">
        <v>116</v>
      </c>
      <c r="Z26"/>
      <c r="AA26"/>
      <c r="AB26" t="s">
        <v>116</v>
      </c>
      <c r="AC26"/>
      <c r="AD26"/>
      <c r="AE26" t="s">
        <v>116</v>
      </c>
      <c r="AF26" t="s">
        <v>117</v>
      </c>
      <c r="AG26" t="s">
        <v>118</v>
      </c>
      <c r="AH26" t="s">
        <v>119</v>
      </c>
      <c r="AI26" t="s">
        <v>120</v>
      </c>
      <c r="AJ26" t="s">
        <v>121</v>
      </c>
      <c r="AK26" t="s">
        <v>122</v>
      </c>
      <c r="AL26" t="s">
        <v>187</v>
      </c>
      <c r="AM26" t="s">
        <v>188</v>
      </c>
      <c r="AN26" t="s">
        <v>189</v>
      </c>
      <c r="AO26"/>
      <c r="AP26"/>
      <c r="AQ26" t="s">
        <v>116</v>
      </c>
      <c r="AR26"/>
      <c r="AS26"/>
      <c r="AT26" t="s">
        <v>116</v>
      </c>
      <c r="AU26"/>
      <c r="AV26"/>
      <c r="AW26" t="s">
        <v>116</v>
      </c>
      <c r="AX26"/>
      <c r="AY26"/>
      <c r="AZ26" t="s">
        <v>116</v>
      </c>
      <c r="BA26"/>
      <c r="BB26"/>
      <c r="BC26" t="s">
        <v>116</v>
      </c>
      <c r="BD26"/>
      <c r="BE26"/>
      <c r="BF26" t="s">
        <v>116</v>
      </c>
      <c r="BG26"/>
      <c r="BH26"/>
      <c r="BI26" t="s">
        <v>116</v>
      </c>
      <c r="BJ26"/>
      <c r="BK26"/>
      <c r="BL26" s="8">
        <v>0</v>
      </c>
      <c r="BM26" s="8">
        <v>1083.96</v>
      </c>
      <c r="BN26" s="8">
        <v>1083.96</v>
      </c>
      <c r="BO26" s="8">
        <v>0</v>
      </c>
      <c r="BP26" s="8">
        <v>-1083.96</v>
      </c>
      <c r="BQ26" s="8">
        <v>0</v>
      </c>
      <c r="BR26" s="8">
        <v>0</v>
      </c>
      <c r="BS26" s="8">
        <v>0</v>
      </c>
      <c r="BT26" s="8">
        <v>0</v>
      </c>
      <c r="BU26" s="8">
        <v>0</v>
      </c>
      <c r="BV26" s="8">
        <v>0</v>
      </c>
      <c r="BW26" s="8">
        <v>0</v>
      </c>
      <c r="BX26" s="8">
        <v>0</v>
      </c>
      <c r="BY26" t="s">
        <v>99</v>
      </c>
      <c r="BZ26" t="s">
        <v>123</v>
      </c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</row>
    <row r="27" spans="1:108" x14ac:dyDescent="0.25">
      <c r="A27" t="s">
        <v>99</v>
      </c>
      <c r="B27" t="s">
        <v>100</v>
      </c>
      <c r="C27" t="s">
        <v>5</v>
      </c>
      <c r="D27" t="s">
        <v>101</v>
      </c>
      <c r="E27" t="s">
        <v>102</v>
      </c>
      <c r="F27" t="s">
        <v>103</v>
      </c>
      <c r="G27" t="s">
        <v>104</v>
      </c>
      <c r="H27" t="s">
        <v>105</v>
      </c>
      <c r="I27" s="6" t="s">
        <v>106</v>
      </c>
      <c r="J27" s="6" t="s">
        <v>107</v>
      </c>
      <c r="K27" s="6" t="s">
        <v>108</v>
      </c>
      <c r="L27" s="6" t="s">
        <v>109</v>
      </c>
      <c r="M27" s="6" t="s">
        <v>110</v>
      </c>
      <c r="N27" s="6" t="s">
        <v>170</v>
      </c>
      <c r="O27" s="6" t="s">
        <v>112</v>
      </c>
      <c r="P27" s="6" t="s">
        <v>171</v>
      </c>
      <c r="Q27" s="6" t="s">
        <v>185</v>
      </c>
      <c r="R27" t="s">
        <v>112</v>
      </c>
      <c r="S27" t="s">
        <v>186</v>
      </c>
      <c r="T27"/>
      <c r="U27"/>
      <c r="V27" t="s">
        <v>116</v>
      </c>
      <c r="W27"/>
      <c r="X27"/>
      <c r="Y27" t="s">
        <v>116</v>
      </c>
      <c r="Z27"/>
      <c r="AA27"/>
      <c r="AB27" t="s">
        <v>116</v>
      </c>
      <c r="AC27"/>
      <c r="AD27"/>
      <c r="AE27" t="s">
        <v>116</v>
      </c>
      <c r="AF27" t="s">
        <v>117</v>
      </c>
      <c r="AG27" t="s">
        <v>118</v>
      </c>
      <c r="AH27" t="s">
        <v>119</v>
      </c>
      <c r="AI27" t="s">
        <v>120</v>
      </c>
      <c r="AJ27" t="s">
        <v>121</v>
      </c>
      <c r="AK27" t="s">
        <v>122</v>
      </c>
      <c r="AL27" t="s">
        <v>190</v>
      </c>
      <c r="AM27" t="s">
        <v>191</v>
      </c>
      <c r="AN27" t="s">
        <v>192</v>
      </c>
      <c r="AO27"/>
      <c r="AP27"/>
      <c r="AQ27" t="s">
        <v>116</v>
      </c>
      <c r="AR27"/>
      <c r="AS27"/>
      <c r="AT27" t="s">
        <v>116</v>
      </c>
      <c r="AU27"/>
      <c r="AV27"/>
      <c r="AW27" t="s">
        <v>116</v>
      </c>
      <c r="AX27"/>
      <c r="AY27"/>
      <c r="AZ27" t="s">
        <v>116</v>
      </c>
      <c r="BA27"/>
      <c r="BB27"/>
      <c r="BC27" t="s">
        <v>116</v>
      </c>
      <c r="BD27"/>
      <c r="BE27"/>
      <c r="BF27" t="s">
        <v>116</v>
      </c>
      <c r="BG27"/>
      <c r="BH27"/>
      <c r="BI27" t="s">
        <v>116</v>
      </c>
      <c r="BJ27"/>
      <c r="BK27"/>
      <c r="BL27" s="8">
        <v>0</v>
      </c>
      <c r="BM27" s="8">
        <v>1159.06</v>
      </c>
      <c r="BN27" s="8">
        <v>1159.06</v>
      </c>
      <c r="BO27" s="8">
        <v>0</v>
      </c>
      <c r="BP27" s="8">
        <v>-1159.06</v>
      </c>
      <c r="BQ27" s="8">
        <v>0</v>
      </c>
      <c r="BR27" s="8">
        <v>0</v>
      </c>
      <c r="BS27" s="8">
        <v>0</v>
      </c>
      <c r="BT27" s="8">
        <v>0</v>
      </c>
      <c r="BU27" s="8">
        <v>0</v>
      </c>
      <c r="BV27" s="8">
        <v>0</v>
      </c>
      <c r="BW27" s="8">
        <v>0</v>
      </c>
      <c r="BX27" s="8">
        <v>0</v>
      </c>
      <c r="BY27" t="s">
        <v>99</v>
      </c>
      <c r="BZ27" t="s">
        <v>123</v>
      </c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</row>
    <row r="28" spans="1:108" x14ac:dyDescent="0.25">
      <c r="A28" t="s">
        <v>99</v>
      </c>
      <c r="B28" t="s">
        <v>100</v>
      </c>
      <c r="C28" t="s">
        <v>5</v>
      </c>
      <c r="D28" t="s">
        <v>101</v>
      </c>
      <c r="E28" t="s">
        <v>102</v>
      </c>
      <c r="F28" t="s">
        <v>103</v>
      </c>
      <c r="G28" t="s">
        <v>104</v>
      </c>
      <c r="H28" t="s">
        <v>105</v>
      </c>
      <c r="I28" s="6" t="s">
        <v>106</v>
      </c>
      <c r="J28" s="6" t="s">
        <v>107</v>
      </c>
      <c r="K28" s="6" t="s">
        <v>108</v>
      </c>
      <c r="L28" s="6" t="s">
        <v>109</v>
      </c>
      <c r="M28" s="6" t="s">
        <v>110</v>
      </c>
      <c r="N28" s="6" t="s">
        <v>170</v>
      </c>
      <c r="O28" s="6" t="s">
        <v>112</v>
      </c>
      <c r="P28" s="6" t="s">
        <v>171</v>
      </c>
      <c r="Q28" s="6" t="s">
        <v>185</v>
      </c>
      <c r="R28" t="s">
        <v>112</v>
      </c>
      <c r="S28" t="s">
        <v>186</v>
      </c>
      <c r="T28"/>
      <c r="U28"/>
      <c r="V28" t="s">
        <v>116</v>
      </c>
      <c r="W28"/>
      <c r="X28"/>
      <c r="Y28" t="s">
        <v>116</v>
      </c>
      <c r="Z28"/>
      <c r="AA28"/>
      <c r="AB28" t="s">
        <v>116</v>
      </c>
      <c r="AC28"/>
      <c r="AD28"/>
      <c r="AE28" t="s">
        <v>116</v>
      </c>
      <c r="AF28" t="s">
        <v>117</v>
      </c>
      <c r="AG28" t="s">
        <v>118</v>
      </c>
      <c r="AH28" t="s">
        <v>119</v>
      </c>
      <c r="AI28" t="s">
        <v>120</v>
      </c>
      <c r="AJ28" t="s">
        <v>121</v>
      </c>
      <c r="AK28" t="s">
        <v>122</v>
      </c>
      <c r="AL28" t="s">
        <v>193</v>
      </c>
      <c r="AM28" t="s">
        <v>194</v>
      </c>
      <c r="AN28" t="s">
        <v>195</v>
      </c>
      <c r="AO28"/>
      <c r="AP28"/>
      <c r="AQ28" t="s">
        <v>116</v>
      </c>
      <c r="AR28"/>
      <c r="AS28"/>
      <c r="AT28" t="s">
        <v>116</v>
      </c>
      <c r="AU28"/>
      <c r="AV28"/>
      <c r="AW28" t="s">
        <v>116</v>
      </c>
      <c r="AX28"/>
      <c r="AY28"/>
      <c r="AZ28" t="s">
        <v>116</v>
      </c>
      <c r="BA28"/>
      <c r="BB28"/>
      <c r="BC28" t="s">
        <v>116</v>
      </c>
      <c r="BD28"/>
      <c r="BE28"/>
      <c r="BF28" t="s">
        <v>116</v>
      </c>
      <c r="BG28"/>
      <c r="BH28"/>
      <c r="BI28" t="s">
        <v>116</v>
      </c>
      <c r="BJ28"/>
      <c r="BK28"/>
      <c r="BL28" s="8">
        <v>0</v>
      </c>
      <c r="BM28" s="8">
        <v>789</v>
      </c>
      <c r="BN28" s="8">
        <v>789</v>
      </c>
      <c r="BO28" s="8">
        <v>0</v>
      </c>
      <c r="BP28" s="8">
        <v>-789</v>
      </c>
      <c r="BQ28" s="8">
        <v>0</v>
      </c>
      <c r="BR28" s="8">
        <v>0</v>
      </c>
      <c r="BS28" s="8">
        <v>0</v>
      </c>
      <c r="BT28" s="8">
        <v>0</v>
      </c>
      <c r="BU28" s="8">
        <v>0</v>
      </c>
      <c r="BV28" s="8">
        <v>0</v>
      </c>
      <c r="BW28" s="8">
        <v>0</v>
      </c>
      <c r="BX28" s="8">
        <v>0</v>
      </c>
      <c r="BY28" t="s">
        <v>99</v>
      </c>
      <c r="BZ28" t="s">
        <v>123</v>
      </c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</row>
    <row r="29" spans="1:108" x14ac:dyDescent="0.25">
      <c r="A29" t="s">
        <v>99</v>
      </c>
      <c r="B29" t="s">
        <v>100</v>
      </c>
      <c r="C29" t="s">
        <v>5</v>
      </c>
      <c r="D29" t="s">
        <v>101</v>
      </c>
      <c r="E29" t="s">
        <v>102</v>
      </c>
      <c r="F29" t="s">
        <v>103</v>
      </c>
      <c r="G29" t="s">
        <v>104</v>
      </c>
      <c r="H29" t="s">
        <v>105</v>
      </c>
      <c r="I29" s="6" t="s">
        <v>106</v>
      </c>
      <c r="J29" s="6" t="s">
        <v>107</v>
      </c>
      <c r="K29" s="6" t="s">
        <v>108</v>
      </c>
      <c r="L29" s="6" t="s">
        <v>109</v>
      </c>
      <c r="M29" s="6" t="s">
        <v>110</v>
      </c>
      <c r="N29" s="6" t="s">
        <v>170</v>
      </c>
      <c r="O29" s="6" t="s">
        <v>112</v>
      </c>
      <c r="P29" s="6" t="s">
        <v>171</v>
      </c>
      <c r="Q29" s="6" t="s">
        <v>196</v>
      </c>
      <c r="R29" t="s">
        <v>112</v>
      </c>
      <c r="S29" t="s">
        <v>197</v>
      </c>
      <c r="T29"/>
      <c r="U29"/>
      <c r="V29" t="s">
        <v>116</v>
      </c>
      <c r="W29"/>
      <c r="X29"/>
      <c r="Y29" t="s">
        <v>116</v>
      </c>
      <c r="Z29"/>
      <c r="AA29"/>
      <c r="AB29" t="s">
        <v>116</v>
      </c>
      <c r="AC29"/>
      <c r="AD29"/>
      <c r="AE29" t="s">
        <v>116</v>
      </c>
      <c r="AF29" t="s">
        <v>117</v>
      </c>
      <c r="AG29" t="s">
        <v>118</v>
      </c>
      <c r="AH29" t="s">
        <v>119</v>
      </c>
      <c r="AI29" t="s">
        <v>120</v>
      </c>
      <c r="AJ29" t="s">
        <v>121</v>
      </c>
      <c r="AK29" t="s">
        <v>122</v>
      </c>
      <c r="AL29"/>
      <c r="AM29"/>
      <c r="AN29" t="s">
        <v>116</v>
      </c>
      <c r="AO29"/>
      <c r="AP29"/>
      <c r="AQ29" t="s">
        <v>116</v>
      </c>
      <c r="AR29"/>
      <c r="AS29"/>
      <c r="AT29" t="s">
        <v>116</v>
      </c>
      <c r="AU29"/>
      <c r="AV29"/>
      <c r="AW29" t="s">
        <v>116</v>
      </c>
      <c r="AX29"/>
      <c r="AY29"/>
      <c r="AZ29" t="s">
        <v>116</v>
      </c>
      <c r="BA29"/>
      <c r="BB29"/>
      <c r="BC29" t="s">
        <v>116</v>
      </c>
      <c r="BD29"/>
      <c r="BE29"/>
      <c r="BF29" t="s">
        <v>116</v>
      </c>
      <c r="BG29"/>
      <c r="BH29"/>
      <c r="BI29" t="s">
        <v>116</v>
      </c>
      <c r="BJ29"/>
      <c r="BK29"/>
      <c r="BL29" s="8">
        <v>1880</v>
      </c>
      <c r="BM29" s="8">
        <v>0</v>
      </c>
      <c r="BN29" s="8">
        <v>0</v>
      </c>
      <c r="BO29" s="8">
        <v>0</v>
      </c>
      <c r="BP29" s="8">
        <v>1880</v>
      </c>
      <c r="BQ29" s="8">
        <v>0</v>
      </c>
      <c r="BR29" s="8">
        <v>0</v>
      </c>
      <c r="BS29" s="8">
        <v>0</v>
      </c>
      <c r="BT29" s="8">
        <v>0</v>
      </c>
      <c r="BU29" s="8">
        <v>0</v>
      </c>
      <c r="BV29" s="8">
        <v>0</v>
      </c>
      <c r="BW29" s="8">
        <v>0</v>
      </c>
      <c r="BX29" s="8">
        <v>0</v>
      </c>
      <c r="BY29" t="s">
        <v>99</v>
      </c>
      <c r="BZ29" t="s">
        <v>123</v>
      </c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</row>
    <row r="30" spans="1:108" x14ac:dyDescent="0.25">
      <c r="A30" t="s">
        <v>99</v>
      </c>
      <c r="B30" t="s">
        <v>100</v>
      </c>
      <c r="C30" t="s">
        <v>5</v>
      </c>
      <c r="D30" t="s">
        <v>101</v>
      </c>
      <c r="E30" t="s">
        <v>102</v>
      </c>
      <c r="F30" t="s">
        <v>103</v>
      </c>
      <c r="G30" t="s">
        <v>104</v>
      </c>
      <c r="H30" t="s">
        <v>105</v>
      </c>
      <c r="I30" s="6" t="s">
        <v>106</v>
      </c>
      <c r="J30" s="6" t="s">
        <v>107</v>
      </c>
      <c r="K30" s="6" t="s">
        <v>108</v>
      </c>
      <c r="L30" s="6" t="s">
        <v>109</v>
      </c>
      <c r="M30" s="6" t="s">
        <v>110</v>
      </c>
      <c r="N30" s="6" t="s">
        <v>170</v>
      </c>
      <c r="O30" s="6" t="s">
        <v>112</v>
      </c>
      <c r="P30" s="6" t="s">
        <v>171</v>
      </c>
      <c r="Q30" s="6" t="s">
        <v>196</v>
      </c>
      <c r="R30" t="s">
        <v>112</v>
      </c>
      <c r="S30" t="s">
        <v>197</v>
      </c>
      <c r="T30"/>
      <c r="U30"/>
      <c r="V30" t="s">
        <v>116</v>
      </c>
      <c r="W30"/>
      <c r="X30"/>
      <c r="Y30" t="s">
        <v>116</v>
      </c>
      <c r="Z30"/>
      <c r="AA30"/>
      <c r="AB30" t="s">
        <v>116</v>
      </c>
      <c r="AC30"/>
      <c r="AD30"/>
      <c r="AE30" t="s">
        <v>116</v>
      </c>
      <c r="AF30" t="s">
        <v>117</v>
      </c>
      <c r="AG30" t="s">
        <v>118</v>
      </c>
      <c r="AH30" t="s">
        <v>119</v>
      </c>
      <c r="AI30" t="s">
        <v>120</v>
      </c>
      <c r="AJ30" t="s">
        <v>121</v>
      </c>
      <c r="AK30" t="s">
        <v>122</v>
      </c>
      <c r="AL30" t="s">
        <v>198</v>
      </c>
      <c r="AM30" t="s">
        <v>199</v>
      </c>
      <c r="AN30" t="s">
        <v>200</v>
      </c>
      <c r="AO30"/>
      <c r="AP30"/>
      <c r="AQ30" t="s">
        <v>116</v>
      </c>
      <c r="AR30"/>
      <c r="AS30"/>
      <c r="AT30" t="s">
        <v>116</v>
      </c>
      <c r="AU30"/>
      <c r="AV30"/>
      <c r="AW30" t="s">
        <v>116</v>
      </c>
      <c r="AX30"/>
      <c r="AY30"/>
      <c r="AZ30" t="s">
        <v>116</v>
      </c>
      <c r="BA30"/>
      <c r="BB30"/>
      <c r="BC30" t="s">
        <v>116</v>
      </c>
      <c r="BD30"/>
      <c r="BE30"/>
      <c r="BF30" t="s">
        <v>116</v>
      </c>
      <c r="BG30"/>
      <c r="BH30"/>
      <c r="BI30" t="s">
        <v>116</v>
      </c>
      <c r="BJ30"/>
      <c r="BK30"/>
      <c r="BL30" s="8">
        <v>0</v>
      </c>
      <c r="BM30" s="8">
        <v>1880</v>
      </c>
      <c r="BN30" s="8">
        <v>1880</v>
      </c>
      <c r="BO30" s="8">
        <v>0</v>
      </c>
      <c r="BP30" s="8">
        <v>-1880</v>
      </c>
      <c r="BQ30" s="8">
        <v>0</v>
      </c>
      <c r="BR30" s="8">
        <v>0</v>
      </c>
      <c r="BS30" s="8">
        <v>0</v>
      </c>
      <c r="BT30" s="8">
        <v>0</v>
      </c>
      <c r="BU30" s="8">
        <v>0</v>
      </c>
      <c r="BV30" s="8">
        <v>0</v>
      </c>
      <c r="BW30" s="8">
        <v>0</v>
      </c>
      <c r="BX30" s="8">
        <v>0</v>
      </c>
      <c r="BY30" t="s">
        <v>99</v>
      </c>
      <c r="BZ30" t="s">
        <v>123</v>
      </c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</row>
    <row r="31" spans="1:108" x14ac:dyDescent="0.25">
      <c r="A31" t="s">
        <v>99</v>
      </c>
      <c r="B31" t="s">
        <v>100</v>
      </c>
      <c r="C31" t="s">
        <v>5</v>
      </c>
      <c r="D31" t="s">
        <v>101</v>
      </c>
      <c r="E31" t="s">
        <v>102</v>
      </c>
      <c r="F31" t="s">
        <v>103</v>
      </c>
      <c r="G31" t="s">
        <v>104</v>
      </c>
      <c r="H31" t="s">
        <v>105</v>
      </c>
      <c r="I31" s="6" t="s">
        <v>106</v>
      </c>
      <c r="J31" s="6" t="s">
        <v>107</v>
      </c>
      <c r="K31" s="6" t="s">
        <v>108</v>
      </c>
      <c r="L31" s="6" t="s">
        <v>109</v>
      </c>
      <c r="M31" s="6" t="s">
        <v>110</v>
      </c>
      <c r="N31" s="6" t="s">
        <v>170</v>
      </c>
      <c r="O31" s="6" t="s">
        <v>112</v>
      </c>
      <c r="P31" s="6" t="s">
        <v>171</v>
      </c>
      <c r="Q31" s="6" t="s">
        <v>201</v>
      </c>
      <c r="R31" t="s">
        <v>112</v>
      </c>
      <c r="S31" t="s">
        <v>202</v>
      </c>
      <c r="T31"/>
      <c r="U31"/>
      <c r="V31" t="s">
        <v>116</v>
      </c>
      <c r="W31"/>
      <c r="X31"/>
      <c r="Y31" t="s">
        <v>116</v>
      </c>
      <c r="Z31"/>
      <c r="AA31"/>
      <c r="AB31" t="s">
        <v>116</v>
      </c>
      <c r="AC31"/>
      <c r="AD31"/>
      <c r="AE31" t="s">
        <v>116</v>
      </c>
      <c r="AF31" t="s">
        <v>117</v>
      </c>
      <c r="AG31" t="s">
        <v>118</v>
      </c>
      <c r="AH31" t="s">
        <v>119</v>
      </c>
      <c r="AI31" t="s">
        <v>120</v>
      </c>
      <c r="AJ31" t="s">
        <v>121</v>
      </c>
      <c r="AK31" t="s">
        <v>122</v>
      </c>
      <c r="AL31"/>
      <c r="AM31"/>
      <c r="AN31" t="s">
        <v>116</v>
      </c>
      <c r="AO31"/>
      <c r="AP31"/>
      <c r="AQ31" t="s">
        <v>116</v>
      </c>
      <c r="AR31"/>
      <c r="AS31"/>
      <c r="AT31" t="s">
        <v>116</v>
      </c>
      <c r="AU31"/>
      <c r="AV31"/>
      <c r="AW31" t="s">
        <v>116</v>
      </c>
      <c r="AX31"/>
      <c r="AY31"/>
      <c r="AZ31" t="s">
        <v>116</v>
      </c>
      <c r="BA31"/>
      <c r="BB31"/>
      <c r="BC31" t="s">
        <v>116</v>
      </c>
      <c r="BD31"/>
      <c r="BE31"/>
      <c r="BF31" t="s">
        <v>116</v>
      </c>
      <c r="BG31"/>
      <c r="BH31"/>
      <c r="BI31" t="s">
        <v>116</v>
      </c>
      <c r="BJ31"/>
      <c r="BK31"/>
      <c r="BL31" s="8">
        <v>8540.16</v>
      </c>
      <c r="BM31" s="8">
        <v>0</v>
      </c>
      <c r="BN31" s="8">
        <v>0</v>
      </c>
      <c r="BO31" s="8">
        <v>0</v>
      </c>
      <c r="BP31" s="8">
        <v>8540.16</v>
      </c>
      <c r="BQ31" s="8">
        <v>0</v>
      </c>
      <c r="BR31" s="8">
        <v>0</v>
      </c>
      <c r="BS31" s="8">
        <v>0</v>
      </c>
      <c r="BT31" s="8">
        <v>0</v>
      </c>
      <c r="BU31" s="8">
        <v>0</v>
      </c>
      <c r="BV31" s="8">
        <v>0</v>
      </c>
      <c r="BW31" s="8">
        <v>0</v>
      </c>
      <c r="BX31" s="8">
        <v>0</v>
      </c>
      <c r="BY31" t="s">
        <v>99</v>
      </c>
      <c r="BZ31" t="s">
        <v>123</v>
      </c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</row>
    <row r="32" spans="1:108" x14ac:dyDescent="0.25">
      <c r="A32" t="s">
        <v>99</v>
      </c>
      <c r="B32" t="s">
        <v>100</v>
      </c>
      <c r="C32" t="s">
        <v>5</v>
      </c>
      <c r="D32" t="s">
        <v>101</v>
      </c>
      <c r="E32" t="s">
        <v>102</v>
      </c>
      <c r="F32" t="s">
        <v>103</v>
      </c>
      <c r="G32" t="s">
        <v>104</v>
      </c>
      <c r="H32" t="s">
        <v>105</v>
      </c>
      <c r="I32" s="6" t="s">
        <v>106</v>
      </c>
      <c r="J32" s="6" t="s">
        <v>107</v>
      </c>
      <c r="K32" s="6" t="s">
        <v>108</v>
      </c>
      <c r="L32" s="6" t="s">
        <v>109</v>
      </c>
      <c r="M32" s="6" t="s">
        <v>110</v>
      </c>
      <c r="N32" s="6" t="s">
        <v>170</v>
      </c>
      <c r="O32" s="6" t="s">
        <v>112</v>
      </c>
      <c r="P32" s="6" t="s">
        <v>171</v>
      </c>
      <c r="Q32" s="6" t="s">
        <v>201</v>
      </c>
      <c r="R32" t="s">
        <v>112</v>
      </c>
      <c r="S32" t="s">
        <v>202</v>
      </c>
      <c r="T32"/>
      <c r="U32"/>
      <c r="V32" t="s">
        <v>116</v>
      </c>
      <c r="W32"/>
      <c r="X32"/>
      <c r="Y32" t="s">
        <v>116</v>
      </c>
      <c r="Z32"/>
      <c r="AA32"/>
      <c r="AB32" t="s">
        <v>116</v>
      </c>
      <c r="AC32"/>
      <c r="AD32"/>
      <c r="AE32" t="s">
        <v>116</v>
      </c>
      <c r="AF32" t="s">
        <v>117</v>
      </c>
      <c r="AG32" t="s">
        <v>118</v>
      </c>
      <c r="AH32" t="s">
        <v>119</v>
      </c>
      <c r="AI32" t="s">
        <v>120</v>
      </c>
      <c r="AJ32" t="s">
        <v>121</v>
      </c>
      <c r="AK32" t="s">
        <v>122</v>
      </c>
      <c r="AL32" t="s">
        <v>203</v>
      </c>
      <c r="AM32" t="s">
        <v>204</v>
      </c>
      <c r="AN32" t="s">
        <v>205</v>
      </c>
      <c r="AO32"/>
      <c r="AP32"/>
      <c r="AQ32" t="s">
        <v>116</v>
      </c>
      <c r="AR32"/>
      <c r="AS32"/>
      <c r="AT32" t="s">
        <v>116</v>
      </c>
      <c r="AU32"/>
      <c r="AV32"/>
      <c r="AW32" t="s">
        <v>116</v>
      </c>
      <c r="AX32"/>
      <c r="AY32"/>
      <c r="AZ32" t="s">
        <v>116</v>
      </c>
      <c r="BA32"/>
      <c r="BB32"/>
      <c r="BC32" t="s">
        <v>116</v>
      </c>
      <c r="BD32"/>
      <c r="BE32"/>
      <c r="BF32" t="s">
        <v>116</v>
      </c>
      <c r="BG32"/>
      <c r="BH32"/>
      <c r="BI32" t="s">
        <v>116</v>
      </c>
      <c r="BJ32"/>
      <c r="BK32"/>
      <c r="BL32" s="8">
        <v>0</v>
      </c>
      <c r="BM32" s="8">
        <v>23.6</v>
      </c>
      <c r="BN32" s="8">
        <v>23.6</v>
      </c>
      <c r="BO32" s="8">
        <v>0</v>
      </c>
      <c r="BP32" s="8">
        <v>-23.6</v>
      </c>
      <c r="BQ32" s="8">
        <v>0</v>
      </c>
      <c r="BR32" s="8">
        <v>0</v>
      </c>
      <c r="BS32" s="8">
        <v>0</v>
      </c>
      <c r="BT32" s="8">
        <v>0</v>
      </c>
      <c r="BU32" s="8">
        <v>0</v>
      </c>
      <c r="BV32" s="8">
        <v>0</v>
      </c>
      <c r="BW32" s="8">
        <v>0</v>
      </c>
      <c r="BX32" s="8">
        <v>0</v>
      </c>
      <c r="BY32" t="s">
        <v>99</v>
      </c>
      <c r="BZ32" t="s">
        <v>123</v>
      </c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</row>
    <row r="33" spans="1:108" x14ac:dyDescent="0.25">
      <c r="A33" t="s">
        <v>99</v>
      </c>
      <c r="B33" t="s">
        <v>100</v>
      </c>
      <c r="C33" t="s">
        <v>5</v>
      </c>
      <c r="D33" t="s">
        <v>101</v>
      </c>
      <c r="E33" t="s">
        <v>102</v>
      </c>
      <c r="F33" t="s">
        <v>103</v>
      </c>
      <c r="G33" t="s">
        <v>104</v>
      </c>
      <c r="H33" t="s">
        <v>105</v>
      </c>
      <c r="I33" s="6" t="s">
        <v>106</v>
      </c>
      <c r="J33" s="6" t="s">
        <v>107</v>
      </c>
      <c r="K33" s="6" t="s">
        <v>108</v>
      </c>
      <c r="L33" s="6" t="s">
        <v>109</v>
      </c>
      <c r="M33" s="6" t="s">
        <v>110</v>
      </c>
      <c r="N33" s="6" t="s">
        <v>170</v>
      </c>
      <c r="O33" s="6" t="s">
        <v>112</v>
      </c>
      <c r="P33" s="6" t="s">
        <v>171</v>
      </c>
      <c r="Q33" s="6" t="s">
        <v>201</v>
      </c>
      <c r="R33" t="s">
        <v>112</v>
      </c>
      <c r="S33" t="s">
        <v>202</v>
      </c>
      <c r="T33"/>
      <c r="U33"/>
      <c r="V33" t="s">
        <v>116</v>
      </c>
      <c r="W33"/>
      <c r="X33"/>
      <c r="Y33" t="s">
        <v>116</v>
      </c>
      <c r="Z33"/>
      <c r="AA33"/>
      <c r="AB33" t="s">
        <v>116</v>
      </c>
      <c r="AC33"/>
      <c r="AD33"/>
      <c r="AE33" t="s">
        <v>116</v>
      </c>
      <c r="AF33" t="s">
        <v>117</v>
      </c>
      <c r="AG33" t="s">
        <v>118</v>
      </c>
      <c r="AH33" t="s">
        <v>119</v>
      </c>
      <c r="AI33" t="s">
        <v>120</v>
      </c>
      <c r="AJ33" t="s">
        <v>121</v>
      </c>
      <c r="AK33" t="s">
        <v>122</v>
      </c>
      <c r="AL33" t="s">
        <v>174</v>
      </c>
      <c r="AM33" t="s">
        <v>175</v>
      </c>
      <c r="AN33" t="s">
        <v>176</v>
      </c>
      <c r="AO33"/>
      <c r="AP33"/>
      <c r="AQ33" t="s">
        <v>116</v>
      </c>
      <c r="AR33"/>
      <c r="AS33"/>
      <c r="AT33" t="s">
        <v>116</v>
      </c>
      <c r="AU33"/>
      <c r="AV33"/>
      <c r="AW33" t="s">
        <v>116</v>
      </c>
      <c r="AX33"/>
      <c r="AY33"/>
      <c r="AZ33" t="s">
        <v>116</v>
      </c>
      <c r="BA33"/>
      <c r="BB33"/>
      <c r="BC33" t="s">
        <v>116</v>
      </c>
      <c r="BD33"/>
      <c r="BE33"/>
      <c r="BF33" t="s">
        <v>116</v>
      </c>
      <c r="BG33"/>
      <c r="BH33"/>
      <c r="BI33" t="s">
        <v>116</v>
      </c>
      <c r="BJ33"/>
      <c r="BK33"/>
      <c r="BL33" s="8">
        <v>0</v>
      </c>
      <c r="BM33" s="8">
        <v>6522.74</v>
      </c>
      <c r="BN33" s="8">
        <v>6522.74</v>
      </c>
      <c r="BO33" s="8">
        <v>0</v>
      </c>
      <c r="BP33" s="8">
        <v>-6522.74</v>
      </c>
      <c r="BQ33" s="8">
        <v>0</v>
      </c>
      <c r="BR33" s="8">
        <v>0</v>
      </c>
      <c r="BS33" s="8">
        <v>0</v>
      </c>
      <c r="BT33" s="8">
        <v>0</v>
      </c>
      <c r="BU33" s="8">
        <v>0</v>
      </c>
      <c r="BV33" s="8">
        <v>0</v>
      </c>
      <c r="BW33" s="8">
        <v>0</v>
      </c>
      <c r="BX33" s="8">
        <v>0</v>
      </c>
      <c r="BY33" t="s">
        <v>99</v>
      </c>
      <c r="BZ33" t="s">
        <v>123</v>
      </c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</row>
    <row r="34" spans="1:108" x14ac:dyDescent="0.25">
      <c r="A34" t="s">
        <v>99</v>
      </c>
      <c r="B34" t="s">
        <v>100</v>
      </c>
      <c r="C34" t="s">
        <v>5</v>
      </c>
      <c r="D34" t="s">
        <v>101</v>
      </c>
      <c r="E34" t="s">
        <v>102</v>
      </c>
      <c r="F34" t="s">
        <v>103</v>
      </c>
      <c r="G34" t="s">
        <v>104</v>
      </c>
      <c r="H34" t="s">
        <v>105</v>
      </c>
      <c r="I34" s="6" t="s">
        <v>106</v>
      </c>
      <c r="J34" s="6" t="s">
        <v>107</v>
      </c>
      <c r="K34" s="6" t="s">
        <v>108</v>
      </c>
      <c r="L34" s="6" t="s">
        <v>109</v>
      </c>
      <c r="M34" s="6" t="s">
        <v>110</v>
      </c>
      <c r="N34" s="6" t="s">
        <v>170</v>
      </c>
      <c r="O34" s="6" t="s">
        <v>112</v>
      </c>
      <c r="P34" s="6" t="s">
        <v>171</v>
      </c>
      <c r="Q34" s="6" t="s">
        <v>206</v>
      </c>
      <c r="R34" t="s">
        <v>112</v>
      </c>
      <c r="S34" t="s">
        <v>207</v>
      </c>
      <c r="T34"/>
      <c r="U34"/>
      <c r="V34" t="s">
        <v>116</v>
      </c>
      <c r="W34"/>
      <c r="X34"/>
      <c r="Y34" t="s">
        <v>116</v>
      </c>
      <c r="Z34"/>
      <c r="AA34"/>
      <c r="AB34" t="s">
        <v>116</v>
      </c>
      <c r="AC34"/>
      <c r="AD34"/>
      <c r="AE34" t="s">
        <v>116</v>
      </c>
      <c r="AF34" t="s">
        <v>117</v>
      </c>
      <c r="AG34" t="s">
        <v>118</v>
      </c>
      <c r="AH34" t="s">
        <v>119</v>
      </c>
      <c r="AI34" t="s">
        <v>120</v>
      </c>
      <c r="AJ34" t="s">
        <v>121</v>
      </c>
      <c r="AK34" t="s">
        <v>122</v>
      </c>
      <c r="AL34"/>
      <c r="AM34"/>
      <c r="AN34" t="s">
        <v>116</v>
      </c>
      <c r="AO34"/>
      <c r="AP34"/>
      <c r="AQ34" t="s">
        <v>116</v>
      </c>
      <c r="AR34"/>
      <c r="AS34"/>
      <c r="AT34" t="s">
        <v>116</v>
      </c>
      <c r="AU34"/>
      <c r="AV34"/>
      <c r="AW34" t="s">
        <v>116</v>
      </c>
      <c r="AX34"/>
      <c r="AY34"/>
      <c r="AZ34" t="s">
        <v>116</v>
      </c>
      <c r="BA34"/>
      <c r="BB34"/>
      <c r="BC34" t="s">
        <v>116</v>
      </c>
      <c r="BD34"/>
      <c r="BE34"/>
      <c r="BF34" t="s">
        <v>116</v>
      </c>
      <c r="BG34"/>
      <c r="BH34"/>
      <c r="BI34" t="s">
        <v>116</v>
      </c>
      <c r="BJ34"/>
      <c r="BK34"/>
      <c r="BL34" s="8">
        <v>100</v>
      </c>
      <c r="BM34" s="8">
        <v>0</v>
      </c>
      <c r="BN34" s="8">
        <v>0</v>
      </c>
      <c r="BO34" s="8">
        <v>0</v>
      </c>
      <c r="BP34" s="8">
        <v>100</v>
      </c>
      <c r="BQ34" s="8">
        <v>0</v>
      </c>
      <c r="BR34" s="8">
        <v>0</v>
      </c>
      <c r="BS34" s="8">
        <v>0</v>
      </c>
      <c r="BT34" s="8">
        <v>0</v>
      </c>
      <c r="BU34" s="8">
        <v>0</v>
      </c>
      <c r="BV34" s="8">
        <v>0</v>
      </c>
      <c r="BW34" s="8">
        <v>0</v>
      </c>
      <c r="BX34" s="8">
        <v>0</v>
      </c>
      <c r="BY34" t="s">
        <v>99</v>
      </c>
      <c r="BZ34" t="s">
        <v>123</v>
      </c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</row>
    <row r="35" spans="1:108" x14ac:dyDescent="0.25">
      <c r="A35" t="s">
        <v>99</v>
      </c>
      <c r="B35" t="s">
        <v>100</v>
      </c>
      <c r="C35" t="s">
        <v>5</v>
      </c>
      <c r="D35" t="s">
        <v>101</v>
      </c>
      <c r="E35" t="s">
        <v>102</v>
      </c>
      <c r="F35" t="s">
        <v>103</v>
      </c>
      <c r="G35" t="s">
        <v>104</v>
      </c>
      <c r="H35" t="s">
        <v>105</v>
      </c>
      <c r="I35" s="6" t="s">
        <v>106</v>
      </c>
      <c r="J35" s="6" t="s">
        <v>107</v>
      </c>
      <c r="K35" s="6" t="s">
        <v>108</v>
      </c>
      <c r="L35" s="6" t="s">
        <v>109</v>
      </c>
      <c r="M35" s="6" t="s">
        <v>110</v>
      </c>
      <c r="N35" s="6" t="s">
        <v>170</v>
      </c>
      <c r="O35" s="6" t="s">
        <v>112</v>
      </c>
      <c r="P35" s="6" t="s">
        <v>171</v>
      </c>
      <c r="Q35" s="6" t="s">
        <v>206</v>
      </c>
      <c r="R35" t="s">
        <v>112</v>
      </c>
      <c r="S35" t="s">
        <v>207</v>
      </c>
      <c r="T35"/>
      <c r="U35"/>
      <c r="V35" t="s">
        <v>116</v>
      </c>
      <c r="W35"/>
      <c r="X35"/>
      <c r="Y35" t="s">
        <v>116</v>
      </c>
      <c r="Z35"/>
      <c r="AA35"/>
      <c r="AB35" t="s">
        <v>116</v>
      </c>
      <c r="AC35"/>
      <c r="AD35"/>
      <c r="AE35" t="s">
        <v>116</v>
      </c>
      <c r="AF35" t="s">
        <v>117</v>
      </c>
      <c r="AG35" t="s">
        <v>118</v>
      </c>
      <c r="AH35" t="s">
        <v>119</v>
      </c>
      <c r="AI35" t="s">
        <v>120</v>
      </c>
      <c r="AJ35" t="s">
        <v>121</v>
      </c>
      <c r="AK35" t="s">
        <v>122</v>
      </c>
      <c r="AL35" t="s">
        <v>174</v>
      </c>
      <c r="AM35" t="s">
        <v>175</v>
      </c>
      <c r="AN35" t="s">
        <v>176</v>
      </c>
      <c r="AO35"/>
      <c r="AP35"/>
      <c r="AQ35" t="s">
        <v>116</v>
      </c>
      <c r="AR35"/>
      <c r="AS35"/>
      <c r="AT35" t="s">
        <v>116</v>
      </c>
      <c r="AU35"/>
      <c r="AV35"/>
      <c r="AW35" t="s">
        <v>116</v>
      </c>
      <c r="AX35"/>
      <c r="AY35"/>
      <c r="AZ35" t="s">
        <v>116</v>
      </c>
      <c r="BA35"/>
      <c r="BB35"/>
      <c r="BC35" t="s">
        <v>116</v>
      </c>
      <c r="BD35"/>
      <c r="BE35"/>
      <c r="BF35" t="s">
        <v>116</v>
      </c>
      <c r="BG35"/>
      <c r="BH35"/>
      <c r="BI35" t="s">
        <v>116</v>
      </c>
      <c r="BJ35"/>
      <c r="BK35"/>
      <c r="BL35" s="8">
        <v>0</v>
      </c>
      <c r="BM35" s="8">
        <v>66.599999999999994</v>
      </c>
      <c r="BN35" s="8">
        <v>66.599999999999994</v>
      </c>
      <c r="BO35" s="8">
        <v>0</v>
      </c>
      <c r="BP35" s="8">
        <v>-66.599999999999994</v>
      </c>
      <c r="BQ35" s="8">
        <v>0</v>
      </c>
      <c r="BR35" s="8">
        <v>0</v>
      </c>
      <c r="BS35" s="8">
        <v>0</v>
      </c>
      <c r="BT35" s="8">
        <v>0</v>
      </c>
      <c r="BU35" s="8">
        <v>0</v>
      </c>
      <c r="BV35" s="8">
        <v>0</v>
      </c>
      <c r="BW35" s="8">
        <v>0</v>
      </c>
      <c r="BX35" s="8">
        <v>0</v>
      </c>
      <c r="BY35" t="s">
        <v>99</v>
      </c>
      <c r="BZ35" t="s">
        <v>123</v>
      </c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</row>
    <row r="36" spans="1:108" x14ac:dyDescent="0.25">
      <c r="A36" t="s">
        <v>99</v>
      </c>
      <c r="B36" t="s">
        <v>100</v>
      </c>
      <c r="C36" t="s">
        <v>5</v>
      </c>
      <c r="D36" t="s">
        <v>101</v>
      </c>
      <c r="E36" t="s">
        <v>102</v>
      </c>
      <c r="F36" t="s">
        <v>103</v>
      </c>
      <c r="G36" t="s">
        <v>104</v>
      </c>
      <c r="H36" t="s">
        <v>105</v>
      </c>
      <c r="I36" s="6" t="s">
        <v>106</v>
      </c>
      <c r="J36" s="6" t="s">
        <v>107</v>
      </c>
      <c r="K36" s="6" t="s">
        <v>108</v>
      </c>
      <c r="L36" s="6" t="s">
        <v>109</v>
      </c>
      <c r="M36" s="6" t="s">
        <v>110</v>
      </c>
      <c r="N36" s="6" t="s">
        <v>170</v>
      </c>
      <c r="O36" s="6" t="s">
        <v>112</v>
      </c>
      <c r="P36" s="6" t="s">
        <v>171</v>
      </c>
      <c r="Q36" s="6" t="s">
        <v>208</v>
      </c>
      <c r="R36" t="s">
        <v>112</v>
      </c>
      <c r="S36" t="s">
        <v>209</v>
      </c>
      <c r="T36"/>
      <c r="U36"/>
      <c r="V36" t="s">
        <v>116</v>
      </c>
      <c r="W36"/>
      <c r="X36"/>
      <c r="Y36" t="s">
        <v>116</v>
      </c>
      <c r="Z36"/>
      <c r="AA36"/>
      <c r="AB36" t="s">
        <v>116</v>
      </c>
      <c r="AC36"/>
      <c r="AD36"/>
      <c r="AE36" t="s">
        <v>116</v>
      </c>
      <c r="AF36" t="s">
        <v>117</v>
      </c>
      <c r="AG36" t="s">
        <v>118</v>
      </c>
      <c r="AH36" t="s">
        <v>119</v>
      </c>
      <c r="AI36" t="s">
        <v>120</v>
      </c>
      <c r="AJ36" t="s">
        <v>121</v>
      </c>
      <c r="AK36" t="s">
        <v>122</v>
      </c>
      <c r="AL36"/>
      <c r="AM36"/>
      <c r="AN36" t="s">
        <v>116</v>
      </c>
      <c r="AO36"/>
      <c r="AP36"/>
      <c r="AQ36" t="s">
        <v>116</v>
      </c>
      <c r="AR36"/>
      <c r="AS36"/>
      <c r="AT36" t="s">
        <v>116</v>
      </c>
      <c r="AU36"/>
      <c r="AV36"/>
      <c r="AW36" t="s">
        <v>116</v>
      </c>
      <c r="AX36"/>
      <c r="AY36"/>
      <c r="AZ36" t="s">
        <v>116</v>
      </c>
      <c r="BA36"/>
      <c r="BB36"/>
      <c r="BC36" t="s">
        <v>116</v>
      </c>
      <c r="BD36"/>
      <c r="BE36"/>
      <c r="BF36" t="s">
        <v>116</v>
      </c>
      <c r="BG36"/>
      <c r="BH36"/>
      <c r="BI36" t="s">
        <v>116</v>
      </c>
      <c r="BJ36"/>
      <c r="BK36"/>
      <c r="BL36" s="8">
        <v>7370.63</v>
      </c>
      <c r="BM36" s="8">
        <v>0</v>
      </c>
      <c r="BN36" s="8">
        <v>0</v>
      </c>
      <c r="BO36" s="8">
        <v>0</v>
      </c>
      <c r="BP36" s="8">
        <v>7370.63</v>
      </c>
      <c r="BQ36" s="8">
        <v>0</v>
      </c>
      <c r="BR36" s="8">
        <v>0</v>
      </c>
      <c r="BS36" s="8">
        <v>0</v>
      </c>
      <c r="BT36" s="8">
        <v>0</v>
      </c>
      <c r="BU36" s="8">
        <v>0</v>
      </c>
      <c r="BV36" s="8">
        <v>0</v>
      </c>
      <c r="BW36" s="8">
        <v>0</v>
      </c>
      <c r="BX36" s="8">
        <v>0</v>
      </c>
      <c r="BY36" t="s">
        <v>99</v>
      </c>
      <c r="BZ36" t="s">
        <v>123</v>
      </c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</row>
    <row r="37" spans="1:108" x14ac:dyDescent="0.25">
      <c r="A37" t="s">
        <v>99</v>
      </c>
      <c r="B37" t="s">
        <v>100</v>
      </c>
      <c r="C37" t="s">
        <v>5</v>
      </c>
      <c r="D37" t="s">
        <v>101</v>
      </c>
      <c r="E37" t="s">
        <v>102</v>
      </c>
      <c r="F37" t="s">
        <v>103</v>
      </c>
      <c r="G37" t="s">
        <v>104</v>
      </c>
      <c r="H37" t="s">
        <v>105</v>
      </c>
      <c r="I37" s="6" t="s">
        <v>106</v>
      </c>
      <c r="J37" s="6" t="s">
        <v>107</v>
      </c>
      <c r="K37" s="6" t="s">
        <v>108</v>
      </c>
      <c r="L37" s="6" t="s">
        <v>109</v>
      </c>
      <c r="M37" s="6" t="s">
        <v>110</v>
      </c>
      <c r="N37" s="6" t="s">
        <v>170</v>
      </c>
      <c r="O37" s="6" t="s">
        <v>112</v>
      </c>
      <c r="P37" s="6" t="s">
        <v>171</v>
      </c>
      <c r="Q37" s="6" t="s">
        <v>208</v>
      </c>
      <c r="R37" t="s">
        <v>112</v>
      </c>
      <c r="S37" t="s">
        <v>209</v>
      </c>
      <c r="T37"/>
      <c r="U37"/>
      <c r="V37" t="s">
        <v>116</v>
      </c>
      <c r="W37"/>
      <c r="X37"/>
      <c r="Y37" t="s">
        <v>116</v>
      </c>
      <c r="Z37"/>
      <c r="AA37"/>
      <c r="AB37" t="s">
        <v>116</v>
      </c>
      <c r="AC37"/>
      <c r="AD37"/>
      <c r="AE37" t="s">
        <v>116</v>
      </c>
      <c r="AF37" t="s">
        <v>117</v>
      </c>
      <c r="AG37" t="s">
        <v>118</v>
      </c>
      <c r="AH37" t="s">
        <v>119</v>
      </c>
      <c r="AI37" t="s">
        <v>120</v>
      </c>
      <c r="AJ37" t="s">
        <v>121</v>
      </c>
      <c r="AK37" t="s">
        <v>122</v>
      </c>
      <c r="AL37" t="s">
        <v>140</v>
      </c>
      <c r="AM37" t="s">
        <v>141</v>
      </c>
      <c r="AN37" t="s">
        <v>142</v>
      </c>
      <c r="AO37"/>
      <c r="AP37"/>
      <c r="AQ37" t="s">
        <v>116</v>
      </c>
      <c r="AR37"/>
      <c r="AS37"/>
      <c r="AT37" t="s">
        <v>116</v>
      </c>
      <c r="AU37"/>
      <c r="AV37"/>
      <c r="AW37" t="s">
        <v>116</v>
      </c>
      <c r="AX37"/>
      <c r="AY37"/>
      <c r="AZ37" t="s">
        <v>116</v>
      </c>
      <c r="BA37"/>
      <c r="BB37"/>
      <c r="BC37" t="s">
        <v>116</v>
      </c>
      <c r="BD37"/>
      <c r="BE37"/>
      <c r="BF37" t="s">
        <v>116</v>
      </c>
      <c r="BG37"/>
      <c r="BH37"/>
      <c r="BI37" t="s">
        <v>116</v>
      </c>
      <c r="BJ37"/>
      <c r="BK37"/>
      <c r="BL37" s="8">
        <v>0</v>
      </c>
      <c r="BM37" s="8">
        <v>6493.08</v>
      </c>
      <c r="BN37" s="8">
        <v>6493.08</v>
      </c>
      <c r="BO37" s="8">
        <v>0</v>
      </c>
      <c r="BP37" s="8">
        <v>-6493.08</v>
      </c>
      <c r="BQ37" s="8">
        <v>0</v>
      </c>
      <c r="BR37" s="8">
        <v>0</v>
      </c>
      <c r="BS37" s="8">
        <v>0</v>
      </c>
      <c r="BT37" s="8">
        <v>0</v>
      </c>
      <c r="BU37" s="8">
        <v>0</v>
      </c>
      <c r="BV37" s="8">
        <v>0</v>
      </c>
      <c r="BW37" s="8">
        <v>0</v>
      </c>
      <c r="BX37" s="8">
        <v>0</v>
      </c>
      <c r="BY37" t="s">
        <v>99</v>
      </c>
      <c r="BZ37" t="s">
        <v>123</v>
      </c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</row>
    <row r="38" spans="1:108" x14ac:dyDescent="0.25">
      <c r="A38" t="s">
        <v>99</v>
      </c>
      <c r="B38" t="s">
        <v>100</v>
      </c>
      <c r="C38" t="s">
        <v>5</v>
      </c>
      <c r="D38" t="s">
        <v>101</v>
      </c>
      <c r="E38" t="s">
        <v>102</v>
      </c>
      <c r="F38" t="s">
        <v>103</v>
      </c>
      <c r="G38" t="s">
        <v>104</v>
      </c>
      <c r="H38" t="s">
        <v>105</v>
      </c>
      <c r="I38" s="6" t="s">
        <v>106</v>
      </c>
      <c r="J38" s="6" t="s">
        <v>107</v>
      </c>
      <c r="K38" s="6" t="s">
        <v>108</v>
      </c>
      <c r="L38" s="6" t="s">
        <v>109</v>
      </c>
      <c r="M38" s="6" t="s">
        <v>110</v>
      </c>
      <c r="N38" s="6" t="s">
        <v>170</v>
      </c>
      <c r="O38" s="6" t="s">
        <v>112</v>
      </c>
      <c r="P38" s="6" t="s">
        <v>171</v>
      </c>
      <c r="Q38" s="6" t="s">
        <v>208</v>
      </c>
      <c r="R38" t="s">
        <v>112</v>
      </c>
      <c r="S38" t="s">
        <v>209</v>
      </c>
      <c r="T38"/>
      <c r="U38"/>
      <c r="V38" t="s">
        <v>116</v>
      </c>
      <c r="W38"/>
      <c r="X38"/>
      <c r="Y38" t="s">
        <v>116</v>
      </c>
      <c r="Z38"/>
      <c r="AA38"/>
      <c r="AB38" t="s">
        <v>116</v>
      </c>
      <c r="AC38"/>
      <c r="AD38"/>
      <c r="AE38" t="s">
        <v>116</v>
      </c>
      <c r="AF38" t="s">
        <v>117</v>
      </c>
      <c r="AG38" t="s">
        <v>118</v>
      </c>
      <c r="AH38" t="s">
        <v>119</v>
      </c>
      <c r="AI38" t="s">
        <v>120</v>
      </c>
      <c r="AJ38" t="s">
        <v>121</v>
      </c>
      <c r="AK38" t="s">
        <v>122</v>
      </c>
      <c r="AL38" t="s">
        <v>182</v>
      </c>
      <c r="AM38" t="s">
        <v>183</v>
      </c>
      <c r="AN38" t="s">
        <v>184</v>
      </c>
      <c r="AO38"/>
      <c r="AP38"/>
      <c r="AQ38" t="s">
        <v>116</v>
      </c>
      <c r="AR38"/>
      <c r="AS38"/>
      <c r="AT38" t="s">
        <v>116</v>
      </c>
      <c r="AU38"/>
      <c r="AV38"/>
      <c r="AW38" t="s">
        <v>116</v>
      </c>
      <c r="AX38"/>
      <c r="AY38"/>
      <c r="AZ38" t="s">
        <v>116</v>
      </c>
      <c r="BA38"/>
      <c r="BB38"/>
      <c r="BC38" t="s">
        <v>116</v>
      </c>
      <c r="BD38"/>
      <c r="BE38"/>
      <c r="BF38" t="s">
        <v>116</v>
      </c>
      <c r="BG38"/>
      <c r="BH38"/>
      <c r="BI38" t="s">
        <v>116</v>
      </c>
      <c r="BJ38"/>
      <c r="BK38"/>
      <c r="BL38" s="8">
        <v>0</v>
      </c>
      <c r="BM38" s="8">
        <v>673.35</v>
      </c>
      <c r="BN38" s="8">
        <v>673.35</v>
      </c>
      <c r="BO38" s="8">
        <v>0</v>
      </c>
      <c r="BP38" s="8">
        <v>-673.35</v>
      </c>
      <c r="BQ38" s="8">
        <v>0</v>
      </c>
      <c r="BR38" s="8">
        <v>0</v>
      </c>
      <c r="BS38" s="8">
        <v>0</v>
      </c>
      <c r="BT38" s="8">
        <v>0</v>
      </c>
      <c r="BU38" s="8">
        <v>0</v>
      </c>
      <c r="BV38" s="8">
        <v>0</v>
      </c>
      <c r="BW38" s="8">
        <v>0</v>
      </c>
      <c r="BX38" s="8">
        <v>0</v>
      </c>
      <c r="BY38" t="s">
        <v>99</v>
      </c>
      <c r="BZ38" t="s">
        <v>123</v>
      </c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</row>
    <row r="39" spans="1:108" x14ac:dyDescent="0.25">
      <c r="A39" t="s">
        <v>99</v>
      </c>
      <c r="B39" t="s">
        <v>100</v>
      </c>
      <c r="C39" t="s">
        <v>5</v>
      </c>
      <c r="D39" t="s">
        <v>101</v>
      </c>
      <c r="E39" t="s">
        <v>102</v>
      </c>
      <c r="F39" t="s">
        <v>103</v>
      </c>
      <c r="G39" t="s">
        <v>104</v>
      </c>
      <c r="H39" t="s">
        <v>105</v>
      </c>
      <c r="I39" s="6" t="s">
        <v>106</v>
      </c>
      <c r="J39" s="6" t="s">
        <v>107</v>
      </c>
      <c r="K39" s="6" t="s">
        <v>108</v>
      </c>
      <c r="L39" s="6" t="s">
        <v>109</v>
      </c>
      <c r="M39" s="6" t="s">
        <v>110</v>
      </c>
      <c r="N39" s="6" t="s">
        <v>170</v>
      </c>
      <c r="O39" s="6" t="s">
        <v>112</v>
      </c>
      <c r="P39" s="6" t="s">
        <v>171</v>
      </c>
      <c r="Q39" s="6" t="s">
        <v>210</v>
      </c>
      <c r="R39" t="s">
        <v>112</v>
      </c>
      <c r="S39" t="s">
        <v>211</v>
      </c>
      <c r="T39"/>
      <c r="U39"/>
      <c r="V39" t="s">
        <v>116</v>
      </c>
      <c r="W39"/>
      <c r="X39"/>
      <c r="Y39" t="s">
        <v>116</v>
      </c>
      <c r="Z39"/>
      <c r="AA39"/>
      <c r="AB39" t="s">
        <v>116</v>
      </c>
      <c r="AC39"/>
      <c r="AD39"/>
      <c r="AE39" t="s">
        <v>116</v>
      </c>
      <c r="AF39" t="s">
        <v>117</v>
      </c>
      <c r="AG39" t="s">
        <v>118</v>
      </c>
      <c r="AH39" t="s">
        <v>119</v>
      </c>
      <c r="AI39" t="s">
        <v>120</v>
      </c>
      <c r="AJ39" t="s">
        <v>121</v>
      </c>
      <c r="AK39" t="s">
        <v>122</v>
      </c>
      <c r="AL39"/>
      <c r="AM39"/>
      <c r="AN39" t="s">
        <v>116</v>
      </c>
      <c r="AO39"/>
      <c r="AP39"/>
      <c r="AQ39" t="s">
        <v>116</v>
      </c>
      <c r="AR39"/>
      <c r="AS39"/>
      <c r="AT39" t="s">
        <v>116</v>
      </c>
      <c r="AU39"/>
      <c r="AV39"/>
      <c r="AW39" t="s">
        <v>116</v>
      </c>
      <c r="AX39"/>
      <c r="AY39"/>
      <c r="AZ39" t="s">
        <v>116</v>
      </c>
      <c r="BA39"/>
      <c r="BB39"/>
      <c r="BC39" t="s">
        <v>116</v>
      </c>
      <c r="BD39"/>
      <c r="BE39"/>
      <c r="BF39" t="s">
        <v>116</v>
      </c>
      <c r="BG39"/>
      <c r="BH39"/>
      <c r="BI39" t="s">
        <v>116</v>
      </c>
      <c r="BJ39"/>
      <c r="BK39"/>
      <c r="BL39" s="8">
        <v>5000</v>
      </c>
      <c r="BM39" s="8">
        <v>0</v>
      </c>
      <c r="BN39" s="8">
        <v>0</v>
      </c>
      <c r="BO39" s="8">
        <v>0</v>
      </c>
      <c r="BP39" s="8">
        <v>5000</v>
      </c>
      <c r="BQ39" s="8">
        <v>0</v>
      </c>
      <c r="BR39" s="8">
        <v>0</v>
      </c>
      <c r="BS39" s="8">
        <v>0</v>
      </c>
      <c r="BT39" s="8">
        <v>0</v>
      </c>
      <c r="BU39" s="8">
        <v>0</v>
      </c>
      <c r="BV39" s="8">
        <v>0</v>
      </c>
      <c r="BW39" s="8">
        <v>0</v>
      </c>
      <c r="BX39" s="8">
        <v>0</v>
      </c>
      <c r="BY39" t="s">
        <v>99</v>
      </c>
      <c r="BZ39" t="s">
        <v>123</v>
      </c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</row>
    <row r="40" spans="1:108" x14ac:dyDescent="0.25">
      <c r="A40" t="s">
        <v>99</v>
      </c>
      <c r="B40" t="s">
        <v>100</v>
      </c>
      <c r="C40" t="s">
        <v>5</v>
      </c>
      <c r="D40" t="s">
        <v>101</v>
      </c>
      <c r="E40" t="s">
        <v>102</v>
      </c>
      <c r="F40" t="s">
        <v>103</v>
      </c>
      <c r="G40" t="s">
        <v>104</v>
      </c>
      <c r="H40" t="s">
        <v>105</v>
      </c>
      <c r="I40" s="6" t="s">
        <v>106</v>
      </c>
      <c r="J40" s="6" t="s">
        <v>107</v>
      </c>
      <c r="K40" s="6" t="s">
        <v>108</v>
      </c>
      <c r="L40" s="6" t="s">
        <v>109</v>
      </c>
      <c r="M40" s="6" t="s">
        <v>110</v>
      </c>
      <c r="N40" s="6" t="s">
        <v>170</v>
      </c>
      <c r="O40" s="6" t="s">
        <v>112</v>
      </c>
      <c r="P40" s="6" t="s">
        <v>171</v>
      </c>
      <c r="Q40" s="6" t="s">
        <v>210</v>
      </c>
      <c r="R40" t="s">
        <v>112</v>
      </c>
      <c r="S40" t="s">
        <v>211</v>
      </c>
      <c r="T40"/>
      <c r="U40"/>
      <c r="V40" t="s">
        <v>116</v>
      </c>
      <c r="W40"/>
      <c r="X40"/>
      <c r="Y40" t="s">
        <v>116</v>
      </c>
      <c r="Z40"/>
      <c r="AA40"/>
      <c r="AB40" t="s">
        <v>116</v>
      </c>
      <c r="AC40"/>
      <c r="AD40"/>
      <c r="AE40" t="s">
        <v>116</v>
      </c>
      <c r="AF40" t="s">
        <v>117</v>
      </c>
      <c r="AG40" t="s">
        <v>118</v>
      </c>
      <c r="AH40" t="s">
        <v>119</v>
      </c>
      <c r="AI40" t="s">
        <v>120</v>
      </c>
      <c r="AJ40" t="s">
        <v>121</v>
      </c>
      <c r="AK40" t="s">
        <v>122</v>
      </c>
      <c r="AL40" t="s">
        <v>174</v>
      </c>
      <c r="AM40" t="s">
        <v>175</v>
      </c>
      <c r="AN40" t="s">
        <v>176</v>
      </c>
      <c r="AO40"/>
      <c r="AP40"/>
      <c r="AQ40" t="s">
        <v>116</v>
      </c>
      <c r="AR40"/>
      <c r="AS40"/>
      <c r="AT40" t="s">
        <v>116</v>
      </c>
      <c r="AU40"/>
      <c r="AV40"/>
      <c r="AW40" t="s">
        <v>116</v>
      </c>
      <c r="AX40"/>
      <c r="AY40"/>
      <c r="AZ40" t="s">
        <v>116</v>
      </c>
      <c r="BA40"/>
      <c r="BB40"/>
      <c r="BC40" t="s">
        <v>116</v>
      </c>
      <c r="BD40"/>
      <c r="BE40"/>
      <c r="BF40" t="s">
        <v>116</v>
      </c>
      <c r="BG40"/>
      <c r="BH40"/>
      <c r="BI40" t="s">
        <v>116</v>
      </c>
      <c r="BJ40"/>
      <c r="BK40"/>
      <c r="BL40" s="8">
        <v>0</v>
      </c>
      <c r="BM40" s="8">
        <v>285.02999999999997</v>
      </c>
      <c r="BN40" s="8">
        <v>285.02999999999997</v>
      </c>
      <c r="BO40" s="8">
        <v>0</v>
      </c>
      <c r="BP40" s="8">
        <v>-285.02999999999997</v>
      </c>
      <c r="BQ40" s="8">
        <v>0</v>
      </c>
      <c r="BR40" s="8">
        <v>0</v>
      </c>
      <c r="BS40" s="8">
        <v>0</v>
      </c>
      <c r="BT40" s="8">
        <v>0</v>
      </c>
      <c r="BU40" s="8">
        <v>0</v>
      </c>
      <c r="BV40" s="8">
        <v>0</v>
      </c>
      <c r="BW40" s="8">
        <v>0</v>
      </c>
      <c r="BX40" s="8">
        <v>0</v>
      </c>
      <c r="BY40" t="s">
        <v>99</v>
      </c>
      <c r="BZ40" t="s">
        <v>123</v>
      </c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</row>
    <row r="41" spans="1:108" x14ac:dyDescent="0.25">
      <c r="A41" t="s">
        <v>99</v>
      </c>
      <c r="B41" t="s">
        <v>100</v>
      </c>
      <c r="C41" t="s">
        <v>5</v>
      </c>
      <c r="D41" t="s">
        <v>101</v>
      </c>
      <c r="E41" t="s">
        <v>102</v>
      </c>
      <c r="F41" t="s">
        <v>103</v>
      </c>
      <c r="G41" t="s">
        <v>104</v>
      </c>
      <c r="H41" t="s">
        <v>105</v>
      </c>
      <c r="I41" s="6" t="s">
        <v>106</v>
      </c>
      <c r="J41" s="6" t="s">
        <v>107</v>
      </c>
      <c r="K41" s="6" t="s">
        <v>108</v>
      </c>
      <c r="L41" s="6" t="s">
        <v>109</v>
      </c>
      <c r="M41" s="6" t="s">
        <v>110</v>
      </c>
      <c r="N41" s="6" t="s">
        <v>170</v>
      </c>
      <c r="O41" s="6" t="s">
        <v>112</v>
      </c>
      <c r="P41" s="6" t="s">
        <v>171</v>
      </c>
      <c r="Q41" s="6" t="s">
        <v>210</v>
      </c>
      <c r="R41" t="s">
        <v>112</v>
      </c>
      <c r="S41" t="s">
        <v>211</v>
      </c>
      <c r="T41"/>
      <c r="U41"/>
      <c r="V41" t="s">
        <v>116</v>
      </c>
      <c r="W41"/>
      <c r="X41"/>
      <c r="Y41" t="s">
        <v>116</v>
      </c>
      <c r="Z41"/>
      <c r="AA41"/>
      <c r="AB41" t="s">
        <v>116</v>
      </c>
      <c r="AC41"/>
      <c r="AD41"/>
      <c r="AE41" t="s">
        <v>116</v>
      </c>
      <c r="AF41" t="s">
        <v>117</v>
      </c>
      <c r="AG41" t="s">
        <v>118</v>
      </c>
      <c r="AH41" t="s">
        <v>119</v>
      </c>
      <c r="AI41" t="s">
        <v>120</v>
      </c>
      <c r="AJ41" t="s">
        <v>121</v>
      </c>
      <c r="AK41" t="s">
        <v>122</v>
      </c>
      <c r="AL41" t="s">
        <v>164</v>
      </c>
      <c r="AM41" t="s">
        <v>165</v>
      </c>
      <c r="AN41" t="s">
        <v>166</v>
      </c>
      <c r="AO41"/>
      <c r="AP41"/>
      <c r="AQ41" t="s">
        <v>116</v>
      </c>
      <c r="AR41"/>
      <c r="AS41"/>
      <c r="AT41" t="s">
        <v>116</v>
      </c>
      <c r="AU41"/>
      <c r="AV41"/>
      <c r="AW41" t="s">
        <v>116</v>
      </c>
      <c r="AX41"/>
      <c r="AY41"/>
      <c r="AZ41" t="s">
        <v>116</v>
      </c>
      <c r="BA41"/>
      <c r="BB41"/>
      <c r="BC41" t="s">
        <v>116</v>
      </c>
      <c r="BD41"/>
      <c r="BE41"/>
      <c r="BF41" t="s">
        <v>116</v>
      </c>
      <c r="BG41"/>
      <c r="BH41"/>
      <c r="BI41" t="s">
        <v>116</v>
      </c>
      <c r="BJ41"/>
      <c r="BK41"/>
      <c r="BL41" s="8">
        <v>0</v>
      </c>
      <c r="BM41" s="8">
        <v>4628.84</v>
      </c>
      <c r="BN41" s="8">
        <v>4628.84</v>
      </c>
      <c r="BO41" s="8">
        <v>0</v>
      </c>
      <c r="BP41" s="8">
        <v>-4628.84</v>
      </c>
      <c r="BQ41" s="8">
        <v>0</v>
      </c>
      <c r="BR41" s="8">
        <v>0</v>
      </c>
      <c r="BS41" s="8">
        <v>0</v>
      </c>
      <c r="BT41" s="8">
        <v>0</v>
      </c>
      <c r="BU41" s="8">
        <v>0</v>
      </c>
      <c r="BV41" s="8">
        <v>0</v>
      </c>
      <c r="BW41" s="8">
        <v>0</v>
      </c>
      <c r="BX41" s="8">
        <v>0</v>
      </c>
      <c r="BY41" t="s">
        <v>99</v>
      </c>
      <c r="BZ41" t="s">
        <v>123</v>
      </c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</row>
    <row r="42" spans="1:108" x14ac:dyDescent="0.25">
      <c r="A42" t="s">
        <v>99</v>
      </c>
      <c r="B42" t="s">
        <v>100</v>
      </c>
      <c r="C42" t="s">
        <v>5</v>
      </c>
      <c r="D42" t="s">
        <v>101</v>
      </c>
      <c r="E42" t="s">
        <v>102</v>
      </c>
      <c r="F42" t="s">
        <v>103</v>
      </c>
      <c r="G42" t="s">
        <v>104</v>
      </c>
      <c r="H42" t="s">
        <v>105</v>
      </c>
      <c r="I42" s="6" t="s">
        <v>106</v>
      </c>
      <c r="J42" s="6" t="s">
        <v>107</v>
      </c>
      <c r="K42" s="6" t="s">
        <v>108</v>
      </c>
      <c r="L42" s="6" t="s">
        <v>109</v>
      </c>
      <c r="M42" s="6" t="s">
        <v>110</v>
      </c>
      <c r="N42" s="6" t="s">
        <v>170</v>
      </c>
      <c r="O42" s="6" t="s">
        <v>112</v>
      </c>
      <c r="P42" s="6" t="s">
        <v>171</v>
      </c>
      <c r="Q42" s="6" t="s">
        <v>212</v>
      </c>
      <c r="R42" t="s">
        <v>112</v>
      </c>
      <c r="S42" t="s">
        <v>213</v>
      </c>
      <c r="T42"/>
      <c r="U42"/>
      <c r="V42" t="s">
        <v>116</v>
      </c>
      <c r="W42"/>
      <c r="X42"/>
      <c r="Y42" t="s">
        <v>116</v>
      </c>
      <c r="Z42"/>
      <c r="AA42"/>
      <c r="AB42" t="s">
        <v>116</v>
      </c>
      <c r="AC42"/>
      <c r="AD42"/>
      <c r="AE42" t="s">
        <v>116</v>
      </c>
      <c r="AF42" t="s">
        <v>117</v>
      </c>
      <c r="AG42" t="s">
        <v>118</v>
      </c>
      <c r="AH42" t="s">
        <v>119</v>
      </c>
      <c r="AI42" t="s">
        <v>120</v>
      </c>
      <c r="AJ42" t="s">
        <v>121</v>
      </c>
      <c r="AK42" t="s">
        <v>122</v>
      </c>
      <c r="AL42"/>
      <c r="AM42"/>
      <c r="AN42" t="s">
        <v>116</v>
      </c>
      <c r="AO42"/>
      <c r="AP42"/>
      <c r="AQ42" t="s">
        <v>116</v>
      </c>
      <c r="AR42"/>
      <c r="AS42"/>
      <c r="AT42" t="s">
        <v>116</v>
      </c>
      <c r="AU42"/>
      <c r="AV42"/>
      <c r="AW42" t="s">
        <v>116</v>
      </c>
      <c r="AX42"/>
      <c r="AY42"/>
      <c r="AZ42" t="s">
        <v>116</v>
      </c>
      <c r="BA42"/>
      <c r="BB42"/>
      <c r="BC42" t="s">
        <v>116</v>
      </c>
      <c r="BD42"/>
      <c r="BE42"/>
      <c r="BF42" t="s">
        <v>116</v>
      </c>
      <c r="BG42"/>
      <c r="BH42"/>
      <c r="BI42" t="s">
        <v>116</v>
      </c>
      <c r="BJ42"/>
      <c r="BK42"/>
      <c r="BL42" s="8">
        <v>640</v>
      </c>
      <c r="BM42" s="8">
        <v>0</v>
      </c>
      <c r="BN42" s="8">
        <v>0</v>
      </c>
      <c r="BO42" s="8">
        <v>0</v>
      </c>
      <c r="BP42" s="8">
        <v>640</v>
      </c>
      <c r="BQ42" s="8">
        <v>0</v>
      </c>
      <c r="BR42" s="8">
        <v>0</v>
      </c>
      <c r="BS42" s="8">
        <v>0</v>
      </c>
      <c r="BT42" s="8">
        <v>0</v>
      </c>
      <c r="BU42" s="8">
        <v>0</v>
      </c>
      <c r="BV42" s="8">
        <v>0</v>
      </c>
      <c r="BW42" s="8">
        <v>0</v>
      </c>
      <c r="BX42" s="8">
        <v>0</v>
      </c>
      <c r="BY42" t="s">
        <v>99</v>
      </c>
      <c r="BZ42" t="s">
        <v>123</v>
      </c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</row>
    <row r="43" spans="1:108" x14ac:dyDescent="0.25">
      <c r="A43" t="s">
        <v>99</v>
      </c>
      <c r="B43" t="s">
        <v>100</v>
      </c>
      <c r="C43" t="s">
        <v>5</v>
      </c>
      <c r="D43" t="s">
        <v>101</v>
      </c>
      <c r="E43" t="s">
        <v>102</v>
      </c>
      <c r="F43" t="s">
        <v>103</v>
      </c>
      <c r="G43" t="s">
        <v>104</v>
      </c>
      <c r="H43" t="s">
        <v>105</v>
      </c>
      <c r="I43" s="6" t="s">
        <v>106</v>
      </c>
      <c r="J43" s="6" t="s">
        <v>107</v>
      </c>
      <c r="K43" s="6" t="s">
        <v>108</v>
      </c>
      <c r="L43" s="6" t="s">
        <v>109</v>
      </c>
      <c r="M43" s="6" t="s">
        <v>110</v>
      </c>
      <c r="N43" s="6" t="s">
        <v>170</v>
      </c>
      <c r="O43" s="6" t="s">
        <v>112</v>
      </c>
      <c r="P43" s="6" t="s">
        <v>171</v>
      </c>
      <c r="Q43" s="6" t="s">
        <v>212</v>
      </c>
      <c r="R43" t="s">
        <v>112</v>
      </c>
      <c r="S43" t="s">
        <v>213</v>
      </c>
      <c r="T43"/>
      <c r="U43"/>
      <c r="V43" t="s">
        <v>116</v>
      </c>
      <c r="W43"/>
      <c r="X43"/>
      <c r="Y43" t="s">
        <v>116</v>
      </c>
      <c r="Z43"/>
      <c r="AA43"/>
      <c r="AB43" t="s">
        <v>116</v>
      </c>
      <c r="AC43"/>
      <c r="AD43"/>
      <c r="AE43" t="s">
        <v>116</v>
      </c>
      <c r="AF43" t="s">
        <v>117</v>
      </c>
      <c r="AG43" t="s">
        <v>118</v>
      </c>
      <c r="AH43" t="s">
        <v>119</v>
      </c>
      <c r="AI43" t="s">
        <v>120</v>
      </c>
      <c r="AJ43" t="s">
        <v>121</v>
      </c>
      <c r="AK43" t="s">
        <v>122</v>
      </c>
      <c r="AL43" t="s">
        <v>214</v>
      </c>
      <c r="AM43" t="s">
        <v>215</v>
      </c>
      <c r="AN43" t="s">
        <v>216</v>
      </c>
      <c r="AO43"/>
      <c r="AP43"/>
      <c r="AQ43" t="s">
        <v>116</v>
      </c>
      <c r="AR43"/>
      <c r="AS43"/>
      <c r="AT43" t="s">
        <v>116</v>
      </c>
      <c r="AU43"/>
      <c r="AV43"/>
      <c r="AW43" t="s">
        <v>116</v>
      </c>
      <c r="AX43"/>
      <c r="AY43"/>
      <c r="AZ43" t="s">
        <v>116</v>
      </c>
      <c r="BA43"/>
      <c r="BB43"/>
      <c r="BC43" t="s">
        <v>116</v>
      </c>
      <c r="BD43"/>
      <c r="BE43"/>
      <c r="BF43" t="s">
        <v>116</v>
      </c>
      <c r="BG43"/>
      <c r="BH43"/>
      <c r="BI43" t="s">
        <v>116</v>
      </c>
      <c r="BJ43"/>
      <c r="BK43"/>
      <c r="BL43" s="8">
        <v>0</v>
      </c>
      <c r="BM43" s="8">
        <v>640</v>
      </c>
      <c r="BN43" s="8">
        <v>640</v>
      </c>
      <c r="BO43" s="8">
        <v>0</v>
      </c>
      <c r="BP43" s="8">
        <v>-640</v>
      </c>
      <c r="BQ43" s="8">
        <v>0</v>
      </c>
      <c r="BR43" s="8">
        <v>0</v>
      </c>
      <c r="BS43" s="8">
        <v>0</v>
      </c>
      <c r="BT43" s="8">
        <v>0</v>
      </c>
      <c r="BU43" s="8">
        <v>0</v>
      </c>
      <c r="BV43" s="8">
        <v>0</v>
      </c>
      <c r="BW43" s="8">
        <v>0</v>
      </c>
      <c r="BX43" s="8">
        <v>0</v>
      </c>
      <c r="BY43" t="s">
        <v>99</v>
      </c>
      <c r="BZ43" t="s">
        <v>123</v>
      </c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</row>
    <row r="44" spans="1:108" x14ac:dyDescent="0.25">
      <c r="A44" t="s">
        <v>99</v>
      </c>
      <c r="B44" t="s">
        <v>100</v>
      </c>
      <c r="C44" t="s">
        <v>5</v>
      </c>
      <c r="D44" t="s">
        <v>101</v>
      </c>
      <c r="E44" t="s">
        <v>102</v>
      </c>
      <c r="F44" t="s">
        <v>103</v>
      </c>
      <c r="G44" t="s">
        <v>104</v>
      </c>
      <c r="H44" t="s">
        <v>105</v>
      </c>
      <c r="I44" s="6" t="s">
        <v>106</v>
      </c>
      <c r="J44" s="6" t="s">
        <v>107</v>
      </c>
      <c r="K44" s="6" t="s">
        <v>108</v>
      </c>
      <c r="L44" s="6" t="s">
        <v>109</v>
      </c>
      <c r="M44" s="6" t="s">
        <v>110</v>
      </c>
      <c r="N44" s="6" t="s">
        <v>217</v>
      </c>
      <c r="O44" s="6" t="s">
        <v>112</v>
      </c>
      <c r="P44" s="6" t="s">
        <v>218</v>
      </c>
      <c r="Q44" s="6" t="s">
        <v>219</v>
      </c>
      <c r="R44" t="s">
        <v>112</v>
      </c>
      <c r="S44" t="s">
        <v>220</v>
      </c>
      <c r="T44"/>
      <c r="U44"/>
      <c r="V44" t="s">
        <v>116</v>
      </c>
      <c r="W44"/>
      <c r="X44"/>
      <c r="Y44" t="s">
        <v>116</v>
      </c>
      <c r="Z44"/>
      <c r="AA44"/>
      <c r="AB44" t="s">
        <v>116</v>
      </c>
      <c r="AC44"/>
      <c r="AD44"/>
      <c r="AE44" t="s">
        <v>116</v>
      </c>
      <c r="AF44" t="s">
        <v>117</v>
      </c>
      <c r="AG44" t="s">
        <v>118</v>
      </c>
      <c r="AH44" t="s">
        <v>119</v>
      </c>
      <c r="AI44" t="s">
        <v>120</v>
      </c>
      <c r="AJ44" t="s">
        <v>121</v>
      </c>
      <c r="AK44" t="s">
        <v>122</v>
      </c>
      <c r="AL44"/>
      <c r="AM44"/>
      <c r="AN44" t="s">
        <v>116</v>
      </c>
      <c r="AO44"/>
      <c r="AP44"/>
      <c r="AQ44" t="s">
        <v>116</v>
      </c>
      <c r="AR44"/>
      <c r="AS44"/>
      <c r="AT44" t="s">
        <v>116</v>
      </c>
      <c r="AU44"/>
      <c r="AV44"/>
      <c r="AW44" t="s">
        <v>116</v>
      </c>
      <c r="AX44"/>
      <c r="AY44"/>
      <c r="AZ44" t="s">
        <v>116</v>
      </c>
      <c r="BA44"/>
      <c r="BB44"/>
      <c r="BC44" t="s">
        <v>116</v>
      </c>
      <c r="BD44"/>
      <c r="BE44"/>
      <c r="BF44" t="s">
        <v>116</v>
      </c>
      <c r="BG44"/>
      <c r="BH44"/>
      <c r="BI44" t="s">
        <v>116</v>
      </c>
      <c r="BJ44"/>
      <c r="BK44"/>
      <c r="BL44" s="8">
        <v>19499</v>
      </c>
      <c r="BM44" s="8">
        <v>0</v>
      </c>
      <c r="BN44" s="8">
        <v>0</v>
      </c>
      <c r="BO44" s="8">
        <v>0</v>
      </c>
      <c r="BP44" s="8">
        <v>19499</v>
      </c>
      <c r="BQ44" s="8">
        <v>0</v>
      </c>
      <c r="BR44" s="8">
        <v>0</v>
      </c>
      <c r="BS44" s="8">
        <v>0</v>
      </c>
      <c r="BT44" s="8">
        <v>0</v>
      </c>
      <c r="BU44" s="8">
        <v>0</v>
      </c>
      <c r="BV44" s="8">
        <v>0</v>
      </c>
      <c r="BW44" s="8">
        <v>0</v>
      </c>
      <c r="BX44" s="8">
        <v>0</v>
      </c>
      <c r="BY44" t="s">
        <v>99</v>
      </c>
      <c r="BZ44" t="s">
        <v>123</v>
      </c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</row>
    <row r="45" spans="1:108" x14ac:dyDescent="0.25">
      <c r="A45" t="s">
        <v>99</v>
      </c>
      <c r="B45" t="s">
        <v>100</v>
      </c>
      <c r="C45" t="s">
        <v>5</v>
      </c>
      <c r="D45" t="s">
        <v>101</v>
      </c>
      <c r="E45" t="s">
        <v>102</v>
      </c>
      <c r="F45" t="s">
        <v>103</v>
      </c>
      <c r="G45" t="s">
        <v>104</v>
      </c>
      <c r="H45" t="s">
        <v>105</v>
      </c>
      <c r="I45" s="6" t="s">
        <v>106</v>
      </c>
      <c r="J45" s="6" t="s">
        <v>107</v>
      </c>
      <c r="K45" s="6" t="s">
        <v>108</v>
      </c>
      <c r="L45" s="6" t="s">
        <v>109</v>
      </c>
      <c r="M45" s="6" t="s">
        <v>110</v>
      </c>
      <c r="N45" s="6" t="s">
        <v>217</v>
      </c>
      <c r="O45" s="6" t="s">
        <v>112</v>
      </c>
      <c r="P45" s="6" t="s">
        <v>218</v>
      </c>
      <c r="Q45" s="6" t="s">
        <v>219</v>
      </c>
      <c r="R45" t="s">
        <v>112</v>
      </c>
      <c r="S45" t="s">
        <v>220</v>
      </c>
      <c r="T45"/>
      <c r="U45"/>
      <c r="V45" t="s">
        <v>116</v>
      </c>
      <c r="W45"/>
      <c r="X45"/>
      <c r="Y45" t="s">
        <v>116</v>
      </c>
      <c r="Z45"/>
      <c r="AA45"/>
      <c r="AB45" t="s">
        <v>116</v>
      </c>
      <c r="AC45"/>
      <c r="AD45"/>
      <c r="AE45" t="s">
        <v>116</v>
      </c>
      <c r="AF45" t="s">
        <v>117</v>
      </c>
      <c r="AG45" t="s">
        <v>118</v>
      </c>
      <c r="AH45" t="s">
        <v>119</v>
      </c>
      <c r="AI45" t="s">
        <v>120</v>
      </c>
      <c r="AJ45" t="s">
        <v>121</v>
      </c>
      <c r="AK45" t="s">
        <v>122</v>
      </c>
      <c r="AL45" t="s">
        <v>221</v>
      </c>
      <c r="AM45" t="s">
        <v>222</v>
      </c>
      <c r="AN45" t="s">
        <v>223</v>
      </c>
      <c r="AO45"/>
      <c r="AP45"/>
      <c r="AQ45" t="s">
        <v>116</v>
      </c>
      <c r="AR45"/>
      <c r="AS45"/>
      <c r="AT45" t="s">
        <v>116</v>
      </c>
      <c r="AU45"/>
      <c r="AV45"/>
      <c r="AW45" t="s">
        <v>116</v>
      </c>
      <c r="AX45"/>
      <c r="AY45"/>
      <c r="AZ45" t="s">
        <v>116</v>
      </c>
      <c r="BA45"/>
      <c r="BB45"/>
      <c r="BC45" t="s">
        <v>116</v>
      </c>
      <c r="BD45"/>
      <c r="BE45"/>
      <c r="BF45" t="s">
        <v>116</v>
      </c>
      <c r="BG45"/>
      <c r="BH45"/>
      <c r="BI45" t="s">
        <v>116</v>
      </c>
      <c r="BJ45"/>
      <c r="BK45"/>
      <c r="BL45" s="8">
        <v>0</v>
      </c>
      <c r="BM45" s="8">
        <v>15598.2</v>
      </c>
      <c r="BN45" s="8">
        <v>15598.2</v>
      </c>
      <c r="BO45" s="8">
        <v>0</v>
      </c>
      <c r="BP45" s="8">
        <v>-15598.2</v>
      </c>
      <c r="BQ45" s="8">
        <v>0</v>
      </c>
      <c r="BR45" s="8">
        <v>0</v>
      </c>
      <c r="BS45" s="8">
        <v>0</v>
      </c>
      <c r="BT45" s="8">
        <v>0</v>
      </c>
      <c r="BU45" s="8">
        <v>0</v>
      </c>
      <c r="BV45" s="8">
        <v>0</v>
      </c>
      <c r="BW45" s="8">
        <v>0</v>
      </c>
      <c r="BX45" s="8">
        <v>0</v>
      </c>
      <c r="BY45" t="s">
        <v>99</v>
      </c>
      <c r="BZ45" t="s">
        <v>123</v>
      </c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</row>
    <row r="46" spans="1:108" x14ac:dyDescent="0.25">
      <c r="A46" t="s">
        <v>99</v>
      </c>
      <c r="B46" t="s">
        <v>100</v>
      </c>
      <c r="C46" t="s">
        <v>5</v>
      </c>
      <c r="D46" t="s">
        <v>101</v>
      </c>
      <c r="E46" t="s">
        <v>102</v>
      </c>
      <c r="F46" t="s">
        <v>103</v>
      </c>
      <c r="G46" t="s">
        <v>104</v>
      </c>
      <c r="H46" t="s">
        <v>105</v>
      </c>
      <c r="I46" s="6" t="s">
        <v>106</v>
      </c>
      <c r="J46" s="6" t="s">
        <v>107</v>
      </c>
      <c r="K46" s="6" t="s">
        <v>108</v>
      </c>
      <c r="L46" s="6" t="s">
        <v>109</v>
      </c>
      <c r="M46" s="6" t="s">
        <v>110</v>
      </c>
      <c r="N46" s="6" t="s">
        <v>217</v>
      </c>
      <c r="O46" s="6" t="s">
        <v>112</v>
      </c>
      <c r="P46" s="6" t="s">
        <v>218</v>
      </c>
      <c r="Q46" s="6" t="s">
        <v>224</v>
      </c>
      <c r="R46" t="s">
        <v>112</v>
      </c>
      <c r="S46" t="s">
        <v>225</v>
      </c>
      <c r="T46"/>
      <c r="U46"/>
      <c r="V46" t="s">
        <v>116</v>
      </c>
      <c r="W46"/>
      <c r="X46"/>
      <c r="Y46" t="s">
        <v>116</v>
      </c>
      <c r="Z46"/>
      <c r="AA46"/>
      <c r="AB46" t="s">
        <v>116</v>
      </c>
      <c r="AC46"/>
      <c r="AD46"/>
      <c r="AE46" t="s">
        <v>116</v>
      </c>
      <c r="AF46" t="s">
        <v>117</v>
      </c>
      <c r="AG46" t="s">
        <v>118</v>
      </c>
      <c r="AH46" t="s">
        <v>119</v>
      </c>
      <c r="AI46" t="s">
        <v>120</v>
      </c>
      <c r="AJ46" t="s">
        <v>121</v>
      </c>
      <c r="AK46" t="s">
        <v>122</v>
      </c>
      <c r="AL46"/>
      <c r="AM46"/>
      <c r="AN46" t="s">
        <v>116</v>
      </c>
      <c r="AO46"/>
      <c r="AP46"/>
      <c r="AQ46" t="s">
        <v>116</v>
      </c>
      <c r="AR46"/>
      <c r="AS46"/>
      <c r="AT46" t="s">
        <v>116</v>
      </c>
      <c r="AU46"/>
      <c r="AV46"/>
      <c r="AW46" t="s">
        <v>116</v>
      </c>
      <c r="AX46"/>
      <c r="AY46"/>
      <c r="AZ46" t="s">
        <v>116</v>
      </c>
      <c r="BA46"/>
      <c r="BB46"/>
      <c r="BC46" t="s">
        <v>116</v>
      </c>
      <c r="BD46"/>
      <c r="BE46"/>
      <c r="BF46" t="s">
        <v>116</v>
      </c>
      <c r="BG46"/>
      <c r="BH46"/>
      <c r="BI46" t="s">
        <v>116</v>
      </c>
      <c r="BJ46"/>
      <c r="BK46"/>
      <c r="BL46" s="8">
        <v>5501</v>
      </c>
      <c r="BM46" s="8">
        <v>0</v>
      </c>
      <c r="BN46" s="8">
        <v>0</v>
      </c>
      <c r="BO46" s="8">
        <v>0</v>
      </c>
      <c r="BP46" s="8">
        <v>5501</v>
      </c>
      <c r="BQ46" s="8">
        <v>0</v>
      </c>
      <c r="BR46" s="8">
        <v>0</v>
      </c>
      <c r="BS46" s="8">
        <v>0</v>
      </c>
      <c r="BT46" s="8">
        <v>0</v>
      </c>
      <c r="BU46" s="8">
        <v>0</v>
      </c>
      <c r="BV46" s="8">
        <v>0</v>
      </c>
      <c r="BW46" s="8">
        <v>0</v>
      </c>
      <c r="BX46" s="8">
        <v>0</v>
      </c>
      <c r="BY46" t="s">
        <v>99</v>
      </c>
      <c r="BZ46" t="s">
        <v>123</v>
      </c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</row>
    <row r="47" spans="1:108" x14ac:dyDescent="0.25">
      <c r="A47" t="s">
        <v>99</v>
      </c>
      <c r="B47" t="s">
        <v>100</v>
      </c>
      <c r="C47" t="s">
        <v>5</v>
      </c>
      <c r="D47" t="s">
        <v>101</v>
      </c>
      <c r="E47" t="s">
        <v>102</v>
      </c>
      <c r="F47" t="s">
        <v>103</v>
      </c>
      <c r="G47" t="s">
        <v>104</v>
      </c>
      <c r="H47" t="s">
        <v>105</v>
      </c>
      <c r="I47" s="6" t="s">
        <v>106</v>
      </c>
      <c r="J47" s="6" t="s">
        <v>107</v>
      </c>
      <c r="K47" s="6" t="s">
        <v>108</v>
      </c>
      <c r="L47" s="6" t="s">
        <v>109</v>
      </c>
      <c r="M47" s="6" t="s">
        <v>110</v>
      </c>
      <c r="N47" s="6" t="s">
        <v>217</v>
      </c>
      <c r="O47" s="6" t="s">
        <v>112</v>
      </c>
      <c r="P47" s="6" t="s">
        <v>218</v>
      </c>
      <c r="Q47" s="6" t="s">
        <v>224</v>
      </c>
      <c r="R47" t="s">
        <v>112</v>
      </c>
      <c r="S47" t="s">
        <v>225</v>
      </c>
      <c r="T47"/>
      <c r="U47"/>
      <c r="V47" t="s">
        <v>116</v>
      </c>
      <c r="W47"/>
      <c r="X47"/>
      <c r="Y47" t="s">
        <v>116</v>
      </c>
      <c r="Z47"/>
      <c r="AA47"/>
      <c r="AB47" t="s">
        <v>116</v>
      </c>
      <c r="AC47"/>
      <c r="AD47"/>
      <c r="AE47" t="s">
        <v>116</v>
      </c>
      <c r="AF47" t="s">
        <v>117</v>
      </c>
      <c r="AG47" t="s">
        <v>118</v>
      </c>
      <c r="AH47" t="s">
        <v>119</v>
      </c>
      <c r="AI47" t="s">
        <v>120</v>
      </c>
      <c r="AJ47" t="s">
        <v>121</v>
      </c>
      <c r="AK47" t="s">
        <v>122</v>
      </c>
      <c r="AL47" t="s">
        <v>140</v>
      </c>
      <c r="AM47" t="s">
        <v>141</v>
      </c>
      <c r="AN47" t="s">
        <v>142</v>
      </c>
      <c r="AO47"/>
      <c r="AP47"/>
      <c r="AQ47" t="s">
        <v>116</v>
      </c>
      <c r="AR47"/>
      <c r="AS47"/>
      <c r="AT47" t="s">
        <v>116</v>
      </c>
      <c r="AU47"/>
      <c r="AV47"/>
      <c r="AW47" t="s">
        <v>116</v>
      </c>
      <c r="AX47"/>
      <c r="AY47"/>
      <c r="AZ47" t="s">
        <v>116</v>
      </c>
      <c r="BA47"/>
      <c r="BB47"/>
      <c r="BC47" t="s">
        <v>116</v>
      </c>
      <c r="BD47"/>
      <c r="BE47"/>
      <c r="BF47" t="s">
        <v>116</v>
      </c>
      <c r="BG47"/>
      <c r="BH47"/>
      <c r="BI47" t="s">
        <v>116</v>
      </c>
      <c r="BJ47"/>
      <c r="BK47"/>
      <c r="BL47" s="8">
        <v>0</v>
      </c>
      <c r="BM47" s="8">
        <v>4173.07</v>
      </c>
      <c r="BN47" s="8">
        <v>4173.07</v>
      </c>
      <c r="BO47" s="8">
        <v>0</v>
      </c>
      <c r="BP47" s="8">
        <v>-4173.07</v>
      </c>
      <c r="BQ47" s="8">
        <v>0</v>
      </c>
      <c r="BR47" s="8">
        <v>0</v>
      </c>
      <c r="BS47" s="8">
        <v>0</v>
      </c>
      <c r="BT47" s="8">
        <v>0</v>
      </c>
      <c r="BU47" s="8">
        <v>0</v>
      </c>
      <c r="BV47" s="8">
        <v>0</v>
      </c>
      <c r="BW47" s="8">
        <v>0</v>
      </c>
      <c r="BX47" s="8">
        <v>0</v>
      </c>
      <c r="BY47" t="s">
        <v>99</v>
      </c>
      <c r="BZ47" t="s">
        <v>123</v>
      </c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</row>
    <row r="48" spans="1:108" x14ac:dyDescent="0.25">
      <c r="A48" t="s">
        <v>99</v>
      </c>
      <c r="B48" t="s">
        <v>100</v>
      </c>
      <c r="C48" t="s">
        <v>5</v>
      </c>
      <c r="D48" t="s">
        <v>101</v>
      </c>
      <c r="E48" t="s">
        <v>102</v>
      </c>
      <c r="F48" t="s">
        <v>103</v>
      </c>
      <c r="G48" t="s">
        <v>104</v>
      </c>
      <c r="H48" t="s">
        <v>105</v>
      </c>
      <c r="I48" s="6" t="s">
        <v>106</v>
      </c>
      <c r="J48" s="6" t="s">
        <v>107</v>
      </c>
      <c r="K48" s="6" t="s">
        <v>108</v>
      </c>
      <c r="L48" s="6" t="s">
        <v>109</v>
      </c>
      <c r="M48" s="6" t="s">
        <v>110</v>
      </c>
      <c r="N48" s="6" t="s">
        <v>217</v>
      </c>
      <c r="O48" s="6" t="s">
        <v>112</v>
      </c>
      <c r="P48" s="6" t="s">
        <v>218</v>
      </c>
      <c r="Q48" s="6" t="s">
        <v>226</v>
      </c>
      <c r="R48" t="s">
        <v>112</v>
      </c>
      <c r="S48" t="s">
        <v>227</v>
      </c>
      <c r="T48"/>
      <c r="U48"/>
      <c r="V48" t="s">
        <v>116</v>
      </c>
      <c r="W48"/>
      <c r="X48"/>
      <c r="Y48" t="s">
        <v>116</v>
      </c>
      <c r="Z48"/>
      <c r="AA48"/>
      <c r="AB48" t="s">
        <v>116</v>
      </c>
      <c r="AC48"/>
      <c r="AD48"/>
      <c r="AE48" t="s">
        <v>116</v>
      </c>
      <c r="AF48" t="s">
        <v>117</v>
      </c>
      <c r="AG48" t="s">
        <v>118</v>
      </c>
      <c r="AH48" t="s">
        <v>119</v>
      </c>
      <c r="AI48" t="s">
        <v>120</v>
      </c>
      <c r="AJ48" t="s">
        <v>121</v>
      </c>
      <c r="AK48" t="s">
        <v>122</v>
      </c>
      <c r="AL48"/>
      <c r="AM48"/>
      <c r="AN48" t="s">
        <v>116</v>
      </c>
      <c r="AO48"/>
      <c r="AP48"/>
      <c r="AQ48" t="s">
        <v>116</v>
      </c>
      <c r="AR48"/>
      <c r="AS48"/>
      <c r="AT48" t="s">
        <v>116</v>
      </c>
      <c r="AU48"/>
      <c r="AV48"/>
      <c r="AW48" t="s">
        <v>116</v>
      </c>
      <c r="AX48"/>
      <c r="AY48"/>
      <c r="AZ48" t="s">
        <v>116</v>
      </c>
      <c r="BA48"/>
      <c r="BB48"/>
      <c r="BC48" t="s">
        <v>116</v>
      </c>
      <c r="BD48"/>
      <c r="BE48"/>
      <c r="BF48" t="s">
        <v>116</v>
      </c>
      <c r="BG48"/>
      <c r="BH48"/>
      <c r="BI48" t="s">
        <v>116</v>
      </c>
      <c r="BJ48"/>
      <c r="BK48"/>
      <c r="BL48" s="8">
        <v>100</v>
      </c>
      <c r="BM48" s="8">
        <v>0</v>
      </c>
      <c r="BN48" s="8">
        <v>0</v>
      </c>
      <c r="BO48" s="8">
        <v>0</v>
      </c>
      <c r="BP48" s="8">
        <v>100</v>
      </c>
      <c r="BQ48" s="8">
        <v>0</v>
      </c>
      <c r="BR48" s="8">
        <v>0</v>
      </c>
      <c r="BS48" s="8">
        <v>0</v>
      </c>
      <c r="BT48" s="8">
        <v>0</v>
      </c>
      <c r="BU48" s="8">
        <v>0</v>
      </c>
      <c r="BV48" s="8">
        <v>0</v>
      </c>
      <c r="BW48" s="8">
        <v>0</v>
      </c>
      <c r="BX48" s="8">
        <v>0</v>
      </c>
      <c r="BY48" t="s">
        <v>99</v>
      </c>
      <c r="BZ48" t="s">
        <v>123</v>
      </c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</row>
    <row r="49" spans="1:108" x14ac:dyDescent="0.25">
      <c r="A49" t="s">
        <v>99</v>
      </c>
      <c r="B49" t="s">
        <v>100</v>
      </c>
      <c r="C49" t="s">
        <v>5</v>
      </c>
      <c r="D49" t="s">
        <v>101</v>
      </c>
      <c r="E49" t="s">
        <v>102</v>
      </c>
      <c r="F49" t="s">
        <v>103</v>
      </c>
      <c r="G49" t="s">
        <v>104</v>
      </c>
      <c r="H49" t="s">
        <v>105</v>
      </c>
      <c r="I49" s="6" t="s">
        <v>106</v>
      </c>
      <c r="J49" s="6" t="s">
        <v>107</v>
      </c>
      <c r="K49" s="6" t="s">
        <v>108</v>
      </c>
      <c r="L49" s="6" t="s">
        <v>109</v>
      </c>
      <c r="M49" s="6" t="s">
        <v>110</v>
      </c>
      <c r="N49" s="6" t="s">
        <v>228</v>
      </c>
      <c r="O49" s="6" t="s">
        <v>112</v>
      </c>
      <c r="P49" s="6" t="s">
        <v>229</v>
      </c>
      <c r="Q49" s="6" t="s">
        <v>230</v>
      </c>
      <c r="R49" t="s">
        <v>112</v>
      </c>
      <c r="S49" t="s">
        <v>231</v>
      </c>
      <c r="T49"/>
      <c r="U49"/>
      <c r="V49" t="s">
        <v>116</v>
      </c>
      <c r="W49"/>
      <c r="X49"/>
      <c r="Y49" t="s">
        <v>116</v>
      </c>
      <c r="Z49"/>
      <c r="AA49"/>
      <c r="AB49" t="s">
        <v>116</v>
      </c>
      <c r="AC49"/>
      <c r="AD49"/>
      <c r="AE49" t="s">
        <v>116</v>
      </c>
      <c r="AF49" t="s">
        <v>117</v>
      </c>
      <c r="AG49" t="s">
        <v>118</v>
      </c>
      <c r="AH49" t="s">
        <v>119</v>
      </c>
      <c r="AI49" t="s">
        <v>120</v>
      </c>
      <c r="AJ49" t="s">
        <v>121</v>
      </c>
      <c r="AK49" t="s">
        <v>122</v>
      </c>
      <c r="AL49"/>
      <c r="AM49"/>
      <c r="AN49" t="s">
        <v>116</v>
      </c>
      <c r="AO49"/>
      <c r="AP49"/>
      <c r="AQ49" t="s">
        <v>116</v>
      </c>
      <c r="AR49"/>
      <c r="AS49"/>
      <c r="AT49" t="s">
        <v>116</v>
      </c>
      <c r="AU49"/>
      <c r="AV49"/>
      <c r="AW49" t="s">
        <v>116</v>
      </c>
      <c r="AX49"/>
      <c r="AY49"/>
      <c r="AZ49" t="s">
        <v>116</v>
      </c>
      <c r="BA49"/>
      <c r="BB49"/>
      <c r="BC49" t="s">
        <v>116</v>
      </c>
      <c r="BD49"/>
      <c r="BE49"/>
      <c r="BF49" t="s">
        <v>116</v>
      </c>
      <c r="BG49"/>
      <c r="BH49"/>
      <c r="BI49" t="s">
        <v>116</v>
      </c>
      <c r="BJ49"/>
      <c r="BK49"/>
      <c r="BL49" s="8">
        <v>4136.16</v>
      </c>
      <c r="BM49" s="8">
        <v>0</v>
      </c>
      <c r="BN49" s="8">
        <v>0</v>
      </c>
      <c r="BO49" s="8">
        <v>0</v>
      </c>
      <c r="BP49" s="8">
        <v>4136.16</v>
      </c>
      <c r="BQ49" s="8">
        <v>0</v>
      </c>
      <c r="BR49" s="8">
        <v>0</v>
      </c>
      <c r="BS49" s="8">
        <v>0</v>
      </c>
      <c r="BT49" s="8">
        <v>0</v>
      </c>
      <c r="BU49" s="8">
        <v>0</v>
      </c>
      <c r="BV49" s="8">
        <v>0</v>
      </c>
      <c r="BW49" s="8">
        <v>0</v>
      </c>
      <c r="BX49" s="8">
        <v>0</v>
      </c>
      <c r="BY49" t="s">
        <v>99</v>
      </c>
      <c r="BZ49" t="s">
        <v>123</v>
      </c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</row>
    <row r="50" spans="1:108" x14ac:dyDescent="0.25">
      <c r="A50" t="s">
        <v>99</v>
      </c>
      <c r="B50" t="s">
        <v>100</v>
      </c>
      <c r="C50" t="s">
        <v>5</v>
      </c>
      <c r="D50" t="s">
        <v>101</v>
      </c>
      <c r="E50" t="s">
        <v>102</v>
      </c>
      <c r="F50" t="s">
        <v>103</v>
      </c>
      <c r="G50" t="s">
        <v>104</v>
      </c>
      <c r="H50" t="s">
        <v>105</v>
      </c>
      <c r="I50" s="6" t="s">
        <v>106</v>
      </c>
      <c r="J50" s="6" t="s">
        <v>107</v>
      </c>
      <c r="K50" s="6" t="s">
        <v>108</v>
      </c>
      <c r="L50" s="6" t="s">
        <v>109</v>
      </c>
      <c r="M50" s="6" t="s">
        <v>110</v>
      </c>
      <c r="N50" s="6" t="s">
        <v>228</v>
      </c>
      <c r="O50" s="6" t="s">
        <v>112</v>
      </c>
      <c r="P50" s="6" t="s">
        <v>229</v>
      </c>
      <c r="Q50" s="6" t="s">
        <v>232</v>
      </c>
      <c r="R50" t="s">
        <v>112</v>
      </c>
      <c r="S50" t="s">
        <v>233</v>
      </c>
      <c r="T50"/>
      <c r="U50"/>
      <c r="V50" t="s">
        <v>116</v>
      </c>
      <c r="W50"/>
      <c r="X50"/>
      <c r="Y50" t="s">
        <v>116</v>
      </c>
      <c r="Z50"/>
      <c r="AA50"/>
      <c r="AB50" t="s">
        <v>116</v>
      </c>
      <c r="AC50"/>
      <c r="AD50"/>
      <c r="AE50" t="s">
        <v>116</v>
      </c>
      <c r="AF50" t="s">
        <v>117</v>
      </c>
      <c r="AG50" t="s">
        <v>118</v>
      </c>
      <c r="AH50" t="s">
        <v>119</v>
      </c>
      <c r="AI50" t="s">
        <v>120</v>
      </c>
      <c r="AJ50" t="s">
        <v>121</v>
      </c>
      <c r="AK50" t="s">
        <v>122</v>
      </c>
      <c r="AL50"/>
      <c r="AM50"/>
      <c r="AN50" t="s">
        <v>116</v>
      </c>
      <c r="AO50"/>
      <c r="AP50"/>
      <c r="AQ50" t="s">
        <v>116</v>
      </c>
      <c r="AR50"/>
      <c r="AS50"/>
      <c r="AT50" t="s">
        <v>116</v>
      </c>
      <c r="AU50"/>
      <c r="AV50"/>
      <c r="AW50" t="s">
        <v>116</v>
      </c>
      <c r="AX50"/>
      <c r="AY50"/>
      <c r="AZ50" t="s">
        <v>116</v>
      </c>
      <c r="BA50"/>
      <c r="BB50"/>
      <c r="BC50" t="s">
        <v>116</v>
      </c>
      <c r="BD50"/>
      <c r="BE50"/>
      <c r="BF50" t="s">
        <v>116</v>
      </c>
      <c r="BG50"/>
      <c r="BH50"/>
      <c r="BI50" t="s">
        <v>116</v>
      </c>
      <c r="BJ50"/>
      <c r="BK50"/>
      <c r="BL50" s="8">
        <v>2100</v>
      </c>
      <c r="BM50" s="8">
        <v>0</v>
      </c>
      <c r="BN50" s="8">
        <v>0</v>
      </c>
      <c r="BO50" s="8">
        <v>0</v>
      </c>
      <c r="BP50" s="8">
        <v>2100</v>
      </c>
      <c r="BQ50" s="8">
        <v>0</v>
      </c>
      <c r="BR50" s="8">
        <v>0</v>
      </c>
      <c r="BS50" s="8">
        <v>0</v>
      </c>
      <c r="BT50" s="8">
        <v>0</v>
      </c>
      <c r="BU50" s="8">
        <v>0</v>
      </c>
      <c r="BV50" s="8">
        <v>0</v>
      </c>
      <c r="BW50" s="8">
        <v>0</v>
      </c>
      <c r="BX50" s="8">
        <v>0</v>
      </c>
      <c r="BY50" t="s">
        <v>99</v>
      </c>
      <c r="BZ50" t="s">
        <v>123</v>
      </c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</row>
    <row r="51" spans="1:108" x14ac:dyDescent="0.25">
      <c r="A51" t="s">
        <v>99</v>
      </c>
      <c r="B51" t="s">
        <v>100</v>
      </c>
      <c r="C51" t="s">
        <v>5</v>
      </c>
      <c r="D51" t="s">
        <v>101</v>
      </c>
      <c r="E51" t="s">
        <v>102</v>
      </c>
      <c r="F51" t="s">
        <v>103</v>
      </c>
      <c r="G51" t="s">
        <v>104</v>
      </c>
      <c r="H51" t="s">
        <v>105</v>
      </c>
      <c r="I51" s="6" t="s">
        <v>106</v>
      </c>
      <c r="J51" s="6" t="s">
        <v>107</v>
      </c>
      <c r="K51" s="6" t="s">
        <v>108</v>
      </c>
      <c r="L51" s="6" t="s">
        <v>109</v>
      </c>
      <c r="M51" s="6" t="s">
        <v>110</v>
      </c>
      <c r="N51" s="6" t="s">
        <v>228</v>
      </c>
      <c r="O51" s="6" t="s">
        <v>112</v>
      </c>
      <c r="P51" s="6" t="s">
        <v>229</v>
      </c>
      <c r="Q51" s="6" t="s">
        <v>234</v>
      </c>
      <c r="R51" t="s">
        <v>112</v>
      </c>
      <c r="S51" t="s">
        <v>235</v>
      </c>
      <c r="T51"/>
      <c r="U51"/>
      <c r="V51" t="s">
        <v>116</v>
      </c>
      <c r="W51"/>
      <c r="X51"/>
      <c r="Y51" t="s">
        <v>116</v>
      </c>
      <c r="Z51"/>
      <c r="AA51"/>
      <c r="AB51" t="s">
        <v>116</v>
      </c>
      <c r="AC51"/>
      <c r="AD51"/>
      <c r="AE51" t="s">
        <v>116</v>
      </c>
      <c r="AF51" t="s">
        <v>117</v>
      </c>
      <c r="AG51" t="s">
        <v>118</v>
      </c>
      <c r="AH51" t="s">
        <v>119</v>
      </c>
      <c r="AI51" t="s">
        <v>120</v>
      </c>
      <c r="AJ51" t="s">
        <v>121</v>
      </c>
      <c r="AK51" t="s">
        <v>122</v>
      </c>
      <c r="AL51"/>
      <c r="AM51"/>
      <c r="AN51" t="s">
        <v>116</v>
      </c>
      <c r="AO51"/>
      <c r="AP51"/>
      <c r="AQ51" t="s">
        <v>116</v>
      </c>
      <c r="AR51"/>
      <c r="AS51"/>
      <c r="AT51" t="s">
        <v>116</v>
      </c>
      <c r="AU51"/>
      <c r="AV51"/>
      <c r="AW51" t="s">
        <v>116</v>
      </c>
      <c r="AX51"/>
      <c r="AY51"/>
      <c r="AZ51" t="s">
        <v>116</v>
      </c>
      <c r="BA51"/>
      <c r="BB51"/>
      <c r="BC51" t="s">
        <v>116</v>
      </c>
      <c r="BD51"/>
      <c r="BE51"/>
      <c r="BF51" t="s">
        <v>116</v>
      </c>
      <c r="BG51"/>
      <c r="BH51"/>
      <c r="BI51" t="s">
        <v>116</v>
      </c>
      <c r="BJ51"/>
      <c r="BK51"/>
      <c r="BL51" s="8">
        <v>2100</v>
      </c>
      <c r="BM51" s="8">
        <v>0</v>
      </c>
      <c r="BN51" s="8">
        <v>0</v>
      </c>
      <c r="BO51" s="8">
        <v>0</v>
      </c>
      <c r="BP51" s="8">
        <v>2100</v>
      </c>
      <c r="BQ51" s="8">
        <v>0</v>
      </c>
      <c r="BR51" s="8">
        <v>0</v>
      </c>
      <c r="BS51" s="8">
        <v>0</v>
      </c>
      <c r="BT51" s="8">
        <v>0</v>
      </c>
      <c r="BU51" s="8">
        <v>0</v>
      </c>
      <c r="BV51" s="8">
        <v>0</v>
      </c>
      <c r="BW51" s="8">
        <v>0</v>
      </c>
      <c r="BX51" s="8">
        <v>0</v>
      </c>
      <c r="BY51" t="s">
        <v>99</v>
      </c>
      <c r="BZ51" t="s">
        <v>123</v>
      </c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</row>
    <row r="52" spans="1:108" x14ac:dyDescent="0.25">
      <c r="A52" t="s">
        <v>99</v>
      </c>
      <c r="B52" t="s">
        <v>100</v>
      </c>
      <c r="C52" t="s">
        <v>5</v>
      </c>
      <c r="D52" t="s">
        <v>101</v>
      </c>
      <c r="E52" t="s">
        <v>102</v>
      </c>
      <c r="F52" t="s">
        <v>103</v>
      </c>
      <c r="G52" t="s">
        <v>104</v>
      </c>
      <c r="H52" t="s">
        <v>105</v>
      </c>
      <c r="I52" s="6" t="s">
        <v>106</v>
      </c>
      <c r="J52" s="6" t="s">
        <v>107</v>
      </c>
      <c r="K52" s="6" t="s">
        <v>108</v>
      </c>
      <c r="L52" s="6" t="s">
        <v>109</v>
      </c>
      <c r="M52" s="6" t="s">
        <v>110</v>
      </c>
      <c r="N52" s="6" t="s">
        <v>228</v>
      </c>
      <c r="O52" s="6" t="s">
        <v>112</v>
      </c>
      <c r="P52" s="6" t="s">
        <v>229</v>
      </c>
      <c r="Q52" s="6" t="s">
        <v>236</v>
      </c>
      <c r="R52" t="s">
        <v>112</v>
      </c>
      <c r="S52" t="s">
        <v>237</v>
      </c>
      <c r="T52"/>
      <c r="U52"/>
      <c r="V52" t="s">
        <v>116</v>
      </c>
      <c r="W52"/>
      <c r="X52"/>
      <c r="Y52" t="s">
        <v>116</v>
      </c>
      <c r="Z52"/>
      <c r="AA52"/>
      <c r="AB52" t="s">
        <v>116</v>
      </c>
      <c r="AC52"/>
      <c r="AD52"/>
      <c r="AE52" t="s">
        <v>116</v>
      </c>
      <c r="AF52" t="s">
        <v>117</v>
      </c>
      <c r="AG52" t="s">
        <v>118</v>
      </c>
      <c r="AH52" t="s">
        <v>119</v>
      </c>
      <c r="AI52" t="s">
        <v>120</v>
      </c>
      <c r="AJ52" t="s">
        <v>121</v>
      </c>
      <c r="AK52" t="s">
        <v>122</v>
      </c>
      <c r="AL52"/>
      <c r="AM52"/>
      <c r="AN52" t="s">
        <v>116</v>
      </c>
      <c r="AO52"/>
      <c r="AP52"/>
      <c r="AQ52" t="s">
        <v>116</v>
      </c>
      <c r="AR52"/>
      <c r="AS52"/>
      <c r="AT52" t="s">
        <v>116</v>
      </c>
      <c r="AU52"/>
      <c r="AV52"/>
      <c r="AW52" t="s">
        <v>116</v>
      </c>
      <c r="AX52"/>
      <c r="AY52"/>
      <c r="AZ52" t="s">
        <v>116</v>
      </c>
      <c r="BA52"/>
      <c r="BB52"/>
      <c r="BC52" t="s">
        <v>116</v>
      </c>
      <c r="BD52"/>
      <c r="BE52"/>
      <c r="BF52" t="s">
        <v>116</v>
      </c>
      <c r="BG52"/>
      <c r="BH52"/>
      <c r="BI52" t="s">
        <v>116</v>
      </c>
      <c r="BJ52"/>
      <c r="BK52"/>
      <c r="BL52" s="8">
        <v>9000</v>
      </c>
      <c r="BM52" s="8">
        <v>0</v>
      </c>
      <c r="BN52" s="8">
        <v>0</v>
      </c>
      <c r="BO52" s="8">
        <v>0</v>
      </c>
      <c r="BP52" s="8">
        <v>9000</v>
      </c>
      <c r="BQ52" s="8">
        <v>0</v>
      </c>
      <c r="BR52" s="8">
        <v>0</v>
      </c>
      <c r="BS52" s="8">
        <v>0</v>
      </c>
      <c r="BT52" s="8">
        <v>0</v>
      </c>
      <c r="BU52" s="8">
        <v>0</v>
      </c>
      <c r="BV52" s="8">
        <v>0</v>
      </c>
      <c r="BW52" s="8">
        <v>0</v>
      </c>
      <c r="BX52" s="8">
        <v>0</v>
      </c>
      <c r="BY52" t="s">
        <v>99</v>
      </c>
      <c r="BZ52" t="s">
        <v>123</v>
      </c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</row>
    <row r="53" spans="1:108" x14ac:dyDescent="0.25">
      <c r="A53" t="s">
        <v>99</v>
      </c>
      <c r="B53" t="s">
        <v>100</v>
      </c>
      <c r="C53" t="s">
        <v>5</v>
      </c>
      <c r="D53" t="s">
        <v>101</v>
      </c>
      <c r="E53" t="s">
        <v>102</v>
      </c>
      <c r="F53" t="s">
        <v>103</v>
      </c>
      <c r="G53" t="s">
        <v>104</v>
      </c>
      <c r="H53" t="s">
        <v>105</v>
      </c>
      <c r="I53" s="6" t="s">
        <v>106</v>
      </c>
      <c r="J53" s="6" t="s">
        <v>107</v>
      </c>
      <c r="K53" s="6" t="s">
        <v>108</v>
      </c>
      <c r="L53" s="6" t="s">
        <v>109</v>
      </c>
      <c r="M53" s="6" t="s">
        <v>110</v>
      </c>
      <c r="N53" s="6" t="s">
        <v>228</v>
      </c>
      <c r="O53" s="6" t="s">
        <v>112</v>
      </c>
      <c r="P53" s="6" t="s">
        <v>229</v>
      </c>
      <c r="Q53" s="6" t="s">
        <v>236</v>
      </c>
      <c r="R53" t="s">
        <v>112</v>
      </c>
      <c r="S53" t="s">
        <v>237</v>
      </c>
      <c r="T53"/>
      <c r="U53"/>
      <c r="V53" t="s">
        <v>116</v>
      </c>
      <c r="W53"/>
      <c r="X53"/>
      <c r="Y53" t="s">
        <v>116</v>
      </c>
      <c r="Z53"/>
      <c r="AA53"/>
      <c r="AB53" t="s">
        <v>116</v>
      </c>
      <c r="AC53"/>
      <c r="AD53"/>
      <c r="AE53" t="s">
        <v>116</v>
      </c>
      <c r="AF53" t="s">
        <v>117</v>
      </c>
      <c r="AG53" t="s">
        <v>118</v>
      </c>
      <c r="AH53" t="s">
        <v>119</v>
      </c>
      <c r="AI53" t="s">
        <v>120</v>
      </c>
      <c r="AJ53" t="s">
        <v>121</v>
      </c>
      <c r="AK53" t="s">
        <v>122</v>
      </c>
      <c r="AL53" t="s">
        <v>238</v>
      </c>
      <c r="AM53" t="s">
        <v>239</v>
      </c>
      <c r="AN53" t="s">
        <v>240</v>
      </c>
      <c r="AO53"/>
      <c r="AP53"/>
      <c r="AQ53" t="s">
        <v>116</v>
      </c>
      <c r="AR53"/>
      <c r="AS53"/>
      <c r="AT53" t="s">
        <v>116</v>
      </c>
      <c r="AU53"/>
      <c r="AV53"/>
      <c r="AW53" t="s">
        <v>116</v>
      </c>
      <c r="AX53"/>
      <c r="AY53"/>
      <c r="AZ53" t="s">
        <v>116</v>
      </c>
      <c r="BA53"/>
      <c r="BB53"/>
      <c r="BC53" t="s">
        <v>116</v>
      </c>
      <c r="BD53"/>
      <c r="BE53"/>
      <c r="BF53" t="s">
        <v>116</v>
      </c>
      <c r="BG53"/>
      <c r="BH53"/>
      <c r="BI53" t="s">
        <v>116</v>
      </c>
      <c r="BJ53"/>
      <c r="BK53"/>
      <c r="BL53" s="8">
        <v>0</v>
      </c>
      <c r="BM53" s="8">
        <v>2310</v>
      </c>
      <c r="BN53" s="8">
        <v>2310</v>
      </c>
      <c r="BO53" s="8">
        <v>0</v>
      </c>
      <c r="BP53" s="8">
        <v>-2310</v>
      </c>
      <c r="BQ53" s="8">
        <v>0</v>
      </c>
      <c r="BR53" s="8">
        <v>0</v>
      </c>
      <c r="BS53" s="8">
        <v>0</v>
      </c>
      <c r="BT53" s="8">
        <v>0</v>
      </c>
      <c r="BU53" s="8">
        <v>0</v>
      </c>
      <c r="BV53" s="8">
        <v>0</v>
      </c>
      <c r="BW53" s="8">
        <v>0</v>
      </c>
      <c r="BX53" s="8">
        <v>0</v>
      </c>
      <c r="BY53" t="s">
        <v>99</v>
      </c>
      <c r="BZ53" t="s">
        <v>123</v>
      </c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</row>
    <row r="54" spans="1:108" x14ac:dyDescent="0.25">
      <c r="A54" t="s">
        <v>99</v>
      </c>
      <c r="B54" t="s">
        <v>100</v>
      </c>
      <c r="C54" t="s">
        <v>5</v>
      </c>
      <c r="D54" t="s">
        <v>101</v>
      </c>
      <c r="E54" t="s">
        <v>102</v>
      </c>
      <c r="F54" t="s">
        <v>103</v>
      </c>
      <c r="G54" t="s">
        <v>104</v>
      </c>
      <c r="H54" t="s">
        <v>105</v>
      </c>
      <c r="I54" s="6" t="s">
        <v>106</v>
      </c>
      <c r="J54" s="6" t="s">
        <v>107</v>
      </c>
      <c r="K54" s="6" t="s">
        <v>108</v>
      </c>
      <c r="L54" s="6" t="s">
        <v>109</v>
      </c>
      <c r="M54" s="6" t="s">
        <v>110</v>
      </c>
      <c r="N54" s="6" t="s">
        <v>228</v>
      </c>
      <c r="O54" s="6" t="s">
        <v>112</v>
      </c>
      <c r="P54" s="6" t="s">
        <v>229</v>
      </c>
      <c r="Q54" s="6" t="s">
        <v>241</v>
      </c>
      <c r="R54" t="s">
        <v>112</v>
      </c>
      <c r="S54" t="s">
        <v>242</v>
      </c>
      <c r="T54"/>
      <c r="U54"/>
      <c r="V54" t="s">
        <v>116</v>
      </c>
      <c r="W54"/>
      <c r="X54"/>
      <c r="Y54" t="s">
        <v>116</v>
      </c>
      <c r="Z54"/>
      <c r="AA54"/>
      <c r="AB54" t="s">
        <v>116</v>
      </c>
      <c r="AC54"/>
      <c r="AD54"/>
      <c r="AE54" t="s">
        <v>116</v>
      </c>
      <c r="AF54" t="s">
        <v>117</v>
      </c>
      <c r="AG54" t="s">
        <v>118</v>
      </c>
      <c r="AH54" t="s">
        <v>119</v>
      </c>
      <c r="AI54" t="s">
        <v>120</v>
      </c>
      <c r="AJ54" t="s">
        <v>121</v>
      </c>
      <c r="AK54" t="s">
        <v>122</v>
      </c>
      <c r="AL54"/>
      <c r="AM54"/>
      <c r="AN54" t="s">
        <v>116</v>
      </c>
      <c r="AO54"/>
      <c r="AP54"/>
      <c r="AQ54" t="s">
        <v>116</v>
      </c>
      <c r="AR54"/>
      <c r="AS54"/>
      <c r="AT54" t="s">
        <v>116</v>
      </c>
      <c r="AU54"/>
      <c r="AV54"/>
      <c r="AW54" t="s">
        <v>116</v>
      </c>
      <c r="AX54"/>
      <c r="AY54"/>
      <c r="AZ54" t="s">
        <v>116</v>
      </c>
      <c r="BA54"/>
      <c r="BB54"/>
      <c r="BC54" t="s">
        <v>116</v>
      </c>
      <c r="BD54"/>
      <c r="BE54"/>
      <c r="BF54" t="s">
        <v>116</v>
      </c>
      <c r="BG54"/>
      <c r="BH54"/>
      <c r="BI54" t="s">
        <v>116</v>
      </c>
      <c r="BJ54"/>
      <c r="BK54"/>
      <c r="BL54" s="8">
        <v>431.31</v>
      </c>
      <c r="BM54" s="8">
        <v>0</v>
      </c>
      <c r="BN54" s="8">
        <v>0</v>
      </c>
      <c r="BO54" s="8">
        <v>0</v>
      </c>
      <c r="BP54" s="8">
        <v>431.31</v>
      </c>
      <c r="BQ54" s="8">
        <v>0</v>
      </c>
      <c r="BR54" s="8">
        <v>0</v>
      </c>
      <c r="BS54" s="8">
        <v>0</v>
      </c>
      <c r="BT54" s="8">
        <v>0</v>
      </c>
      <c r="BU54" s="8">
        <v>0</v>
      </c>
      <c r="BV54" s="8">
        <v>0</v>
      </c>
      <c r="BW54" s="8">
        <v>0</v>
      </c>
      <c r="BX54" s="8">
        <v>0</v>
      </c>
      <c r="BY54" t="s">
        <v>99</v>
      </c>
      <c r="BZ54" t="s">
        <v>123</v>
      </c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</row>
    <row r="55" spans="1:108" x14ac:dyDescent="0.25">
      <c r="A55" t="s">
        <v>99</v>
      </c>
      <c r="B55" t="s">
        <v>100</v>
      </c>
      <c r="C55" t="s">
        <v>5</v>
      </c>
      <c r="D55" t="s">
        <v>101</v>
      </c>
      <c r="E55" t="s">
        <v>102</v>
      </c>
      <c r="F55" t="s">
        <v>103</v>
      </c>
      <c r="G55" t="s">
        <v>104</v>
      </c>
      <c r="H55" t="s">
        <v>105</v>
      </c>
      <c r="I55" s="6" t="s">
        <v>106</v>
      </c>
      <c r="J55" s="6" t="s">
        <v>107</v>
      </c>
      <c r="K55" s="6" t="s">
        <v>108</v>
      </c>
      <c r="L55" s="6" t="s">
        <v>109</v>
      </c>
      <c r="M55" s="6" t="s">
        <v>110</v>
      </c>
      <c r="N55" s="6" t="s">
        <v>228</v>
      </c>
      <c r="O55" s="6" t="s">
        <v>112</v>
      </c>
      <c r="P55" s="6" t="s">
        <v>229</v>
      </c>
      <c r="Q55" s="6" t="s">
        <v>241</v>
      </c>
      <c r="R55" t="s">
        <v>112</v>
      </c>
      <c r="S55" t="s">
        <v>242</v>
      </c>
      <c r="T55"/>
      <c r="U55"/>
      <c r="V55" t="s">
        <v>116</v>
      </c>
      <c r="W55"/>
      <c r="X55"/>
      <c r="Y55" t="s">
        <v>116</v>
      </c>
      <c r="Z55"/>
      <c r="AA55"/>
      <c r="AB55" t="s">
        <v>116</v>
      </c>
      <c r="AC55"/>
      <c r="AD55"/>
      <c r="AE55" t="s">
        <v>116</v>
      </c>
      <c r="AF55" t="s">
        <v>117</v>
      </c>
      <c r="AG55" t="s">
        <v>118</v>
      </c>
      <c r="AH55" t="s">
        <v>119</v>
      </c>
      <c r="AI55" t="s">
        <v>120</v>
      </c>
      <c r="AJ55" t="s">
        <v>121</v>
      </c>
      <c r="AK55" t="s">
        <v>122</v>
      </c>
      <c r="AL55" t="s">
        <v>238</v>
      </c>
      <c r="AM55" t="s">
        <v>239</v>
      </c>
      <c r="AN55" t="s">
        <v>240</v>
      </c>
      <c r="AO55"/>
      <c r="AP55"/>
      <c r="AQ55" t="s">
        <v>116</v>
      </c>
      <c r="AR55"/>
      <c r="AS55"/>
      <c r="AT55" t="s">
        <v>116</v>
      </c>
      <c r="AU55"/>
      <c r="AV55"/>
      <c r="AW55" t="s">
        <v>116</v>
      </c>
      <c r="AX55"/>
      <c r="AY55"/>
      <c r="AZ55" t="s">
        <v>116</v>
      </c>
      <c r="BA55"/>
      <c r="BB55"/>
      <c r="BC55" t="s">
        <v>116</v>
      </c>
      <c r="BD55"/>
      <c r="BE55"/>
      <c r="BF55" t="s">
        <v>116</v>
      </c>
      <c r="BG55"/>
      <c r="BH55"/>
      <c r="BI55" t="s">
        <v>116</v>
      </c>
      <c r="BJ55"/>
      <c r="BK55"/>
      <c r="BL55" s="8">
        <v>0</v>
      </c>
      <c r="BM55" s="8">
        <v>385</v>
      </c>
      <c r="BN55" s="8">
        <v>385</v>
      </c>
      <c r="BO55" s="8">
        <v>0</v>
      </c>
      <c r="BP55" s="8">
        <v>-385</v>
      </c>
      <c r="BQ55" s="8">
        <v>0</v>
      </c>
      <c r="BR55" s="8">
        <v>0</v>
      </c>
      <c r="BS55" s="8">
        <v>0</v>
      </c>
      <c r="BT55" s="8">
        <v>0</v>
      </c>
      <c r="BU55" s="8">
        <v>0</v>
      </c>
      <c r="BV55" s="8">
        <v>0</v>
      </c>
      <c r="BW55" s="8">
        <v>0</v>
      </c>
      <c r="BX55" s="8">
        <v>0</v>
      </c>
      <c r="BY55" t="s">
        <v>99</v>
      </c>
      <c r="BZ55" t="s">
        <v>123</v>
      </c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</row>
    <row r="56" spans="1:108" x14ac:dyDescent="0.25">
      <c r="A56" t="s">
        <v>99</v>
      </c>
      <c r="B56" t="s">
        <v>100</v>
      </c>
      <c r="C56" t="s">
        <v>5</v>
      </c>
      <c r="D56" t="s">
        <v>101</v>
      </c>
      <c r="E56" t="s">
        <v>102</v>
      </c>
      <c r="F56" t="s">
        <v>103</v>
      </c>
      <c r="G56" t="s">
        <v>104</v>
      </c>
      <c r="H56" t="s">
        <v>105</v>
      </c>
      <c r="I56" s="6" t="s">
        <v>106</v>
      </c>
      <c r="J56" s="6" t="s">
        <v>107</v>
      </c>
      <c r="K56" s="6" t="s">
        <v>108</v>
      </c>
      <c r="L56" s="6" t="s">
        <v>109</v>
      </c>
      <c r="M56" s="6" t="s">
        <v>110</v>
      </c>
      <c r="N56" s="6" t="s">
        <v>228</v>
      </c>
      <c r="O56" s="6" t="s">
        <v>112</v>
      </c>
      <c r="P56" s="6" t="s">
        <v>229</v>
      </c>
      <c r="Q56" s="6" t="s">
        <v>243</v>
      </c>
      <c r="R56" t="s">
        <v>112</v>
      </c>
      <c r="S56" t="s">
        <v>244</v>
      </c>
      <c r="T56"/>
      <c r="U56"/>
      <c r="V56" t="s">
        <v>116</v>
      </c>
      <c r="W56"/>
      <c r="X56"/>
      <c r="Y56" t="s">
        <v>116</v>
      </c>
      <c r="Z56"/>
      <c r="AA56"/>
      <c r="AB56" t="s">
        <v>116</v>
      </c>
      <c r="AC56"/>
      <c r="AD56"/>
      <c r="AE56" t="s">
        <v>116</v>
      </c>
      <c r="AF56" t="s">
        <v>117</v>
      </c>
      <c r="AG56" t="s">
        <v>118</v>
      </c>
      <c r="AH56" t="s">
        <v>119</v>
      </c>
      <c r="AI56" t="s">
        <v>120</v>
      </c>
      <c r="AJ56" t="s">
        <v>121</v>
      </c>
      <c r="AK56" t="s">
        <v>122</v>
      </c>
      <c r="AL56"/>
      <c r="AM56"/>
      <c r="AN56" t="s">
        <v>116</v>
      </c>
      <c r="AO56"/>
      <c r="AP56"/>
      <c r="AQ56" t="s">
        <v>116</v>
      </c>
      <c r="AR56"/>
      <c r="AS56"/>
      <c r="AT56" t="s">
        <v>116</v>
      </c>
      <c r="AU56"/>
      <c r="AV56"/>
      <c r="AW56" t="s">
        <v>116</v>
      </c>
      <c r="AX56"/>
      <c r="AY56"/>
      <c r="AZ56" t="s">
        <v>116</v>
      </c>
      <c r="BA56"/>
      <c r="BB56"/>
      <c r="BC56" t="s">
        <v>116</v>
      </c>
      <c r="BD56"/>
      <c r="BE56"/>
      <c r="BF56" t="s">
        <v>116</v>
      </c>
      <c r="BG56"/>
      <c r="BH56"/>
      <c r="BI56" t="s">
        <v>116</v>
      </c>
      <c r="BJ56"/>
      <c r="BK56"/>
      <c r="BL56" s="8">
        <v>834.05</v>
      </c>
      <c r="BM56" s="8">
        <v>0</v>
      </c>
      <c r="BN56" s="8">
        <v>0</v>
      </c>
      <c r="BO56" s="8">
        <v>0</v>
      </c>
      <c r="BP56" s="8">
        <v>834.05</v>
      </c>
      <c r="BQ56" s="8">
        <v>0</v>
      </c>
      <c r="BR56" s="8">
        <v>0</v>
      </c>
      <c r="BS56" s="8">
        <v>0</v>
      </c>
      <c r="BT56" s="8">
        <v>0</v>
      </c>
      <c r="BU56" s="8">
        <v>0</v>
      </c>
      <c r="BV56" s="8">
        <v>0</v>
      </c>
      <c r="BW56" s="8">
        <v>0</v>
      </c>
      <c r="BX56" s="8">
        <v>0</v>
      </c>
      <c r="BY56" t="s">
        <v>99</v>
      </c>
      <c r="BZ56" t="s">
        <v>123</v>
      </c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</row>
    <row r="57" spans="1:108" x14ac:dyDescent="0.25">
      <c r="A57" t="s">
        <v>99</v>
      </c>
      <c r="B57" t="s">
        <v>100</v>
      </c>
      <c r="C57" t="s">
        <v>5</v>
      </c>
      <c r="D57" t="s">
        <v>101</v>
      </c>
      <c r="E57" t="s">
        <v>102</v>
      </c>
      <c r="F57" t="s">
        <v>103</v>
      </c>
      <c r="G57" t="s">
        <v>104</v>
      </c>
      <c r="H57" t="s">
        <v>105</v>
      </c>
      <c r="I57" s="6" t="s">
        <v>106</v>
      </c>
      <c r="J57" s="6" t="s">
        <v>107</v>
      </c>
      <c r="K57" s="6" t="s">
        <v>108</v>
      </c>
      <c r="L57" s="6" t="s">
        <v>109</v>
      </c>
      <c r="M57" s="6" t="s">
        <v>110</v>
      </c>
      <c r="N57" s="6" t="s">
        <v>228</v>
      </c>
      <c r="O57" s="6" t="s">
        <v>112</v>
      </c>
      <c r="P57" s="6" t="s">
        <v>229</v>
      </c>
      <c r="Q57" s="6" t="s">
        <v>245</v>
      </c>
      <c r="R57" t="s">
        <v>112</v>
      </c>
      <c r="S57" t="s">
        <v>246</v>
      </c>
      <c r="T57"/>
      <c r="U57"/>
      <c r="V57" t="s">
        <v>116</v>
      </c>
      <c r="W57"/>
      <c r="X57"/>
      <c r="Y57" t="s">
        <v>116</v>
      </c>
      <c r="Z57"/>
      <c r="AA57"/>
      <c r="AB57" t="s">
        <v>116</v>
      </c>
      <c r="AC57"/>
      <c r="AD57"/>
      <c r="AE57" t="s">
        <v>116</v>
      </c>
      <c r="AF57" t="s">
        <v>117</v>
      </c>
      <c r="AG57" t="s">
        <v>118</v>
      </c>
      <c r="AH57" t="s">
        <v>119</v>
      </c>
      <c r="AI57" t="s">
        <v>120</v>
      </c>
      <c r="AJ57" t="s">
        <v>121</v>
      </c>
      <c r="AK57" t="s">
        <v>122</v>
      </c>
      <c r="AL57"/>
      <c r="AM57"/>
      <c r="AN57" t="s">
        <v>116</v>
      </c>
      <c r="AO57"/>
      <c r="AP57"/>
      <c r="AQ57" t="s">
        <v>116</v>
      </c>
      <c r="AR57"/>
      <c r="AS57"/>
      <c r="AT57" t="s">
        <v>116</v>
      </c>
      <c r="AU57"/>
      <c r="AV57"/>
      <c r="AW57" t="s">
        <v>116</v>
      </c>
      <c r="AX57"/>
      <c r="AY57"/>
      <c r="AZ57" t="s">
        <v>116</v>
      </c>
      <c r="BA57"/>
      <c r="BB57"/>
      <c r="BC57" t="s">
        <v>116</v>
      </c>
      <c r="BD57"/>
      <c r="BE57"/>
      <c r="BF57" t="s">
        <v>116</v>
      </c>
      <c r="BG57"/>
      <c r="BH57"/>
      <c r="BI57" t="s">
        <v>116</v>
      </c>
      <c r="BJ57"/>
      <c r="BK57"/>
      <c r="BL57" s="8">
        <v>1128.08</v>
      </c>
      <c r="BM57" s="8">
        <v>0</v>
      </c>
      <c r="BN57" s="8">
        <v>0</v>
      </c>
      <c r="BO57" s="8">
        <v>0</v>
      </c>
      <c r="BP57" s="8">
        <v>1128.08</v>
      </c>
      <c r="BQ57" s="8">
        <v>0</v>
      </c>
      <c r="BR57" s="8">
        <v>0</v>
      </c>
      <c r="BS57" s="8">
        <v>0</v>
      </c>
      <c r="BT57" s="8">
        <v>0</v>
      </c>
      <c r="BU57" s="8">
        <v>0</v>
      </c>
      <c r="BV57" s="8">
        <v>0</v>
      </c>
      <c r="BW57" s="8">
        <v>0</v>
      </c>
      <c r="BX57" s="8">
        <v>0</v>
      </c>
      <c r="BY57" t="s">
        <v>99</v>
      </c>
      <c r="BZ57" t="s">
        <v>123</v>
      </c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</row>
    <row r="58" spans="1:108" x14ac:dyDescent="0.25">
      <c r="A58" t="s">
        <v>99</v>
      </c>
      <c r="B58" t="s">
        <v>100</v>
      </c>
      <c r="C58" t="s">
        <v>5</v>
      </c>
      <c r="D58" t="s">
        <v>101</v>
      </c>
      <c r="E58" t="s">
        <v>102</v>
      </c>
      <c r="F58" t="s">
        <v>103</v>
      </c>
      <c r="G58" t="s">
        <v>104</v>
      </c>
      <c r="H58" t="s">
        <v>105</v>
      </c>
      <c r="I58" s="6" t="s">
        <v>106</v>
      </c>
      <c r="J58" s="6" t="s">
        <v>107</v>
      </c>
      <c r="K58" s="6" t="s">
        <v>108</v>
      </c>
      <c r="L58" s="6" t="s">
        <v>109</v>
      </c>
      <c r="M58" s="6" t="s">
        <v>110</v>
      </c>
      <c r="N58" s="6" t="s">
        <v>228</v>
      </c>
      <c r="O58" s="6" t="s">
        <v>112</v>
      </c>
      <c r="P58" s="6" t="s">
        <v>229</v>
      </c>
      <c r="Q58" s="6" t="s">
        <v>245</v>
      </c>
      <c r="R58" t="s">
        <v>112</v>
      </c>
      <c r="S58" t="s">
        <v>246</v>
      </c>
      <c r="T58"/>
      <c r="U58"/>
      <c r="V58" t="s">
        <v>116</v>
      </c>
      <c r="W58"/>
      <c r="X58"/>
      <c r="Y58" t="s">
        <v>116</v>
      </c>
      <c r="Z58"/>
      <c r="AA58"/>
      <c r="AB58" t="s">
        <v>116</v>
      </c>
      <c r="AC58"/>
      <c r="AD58"/>
      <c r="AE58" t="s">
        <v>116</v>
      </c>
      <c r="AF58" t="s">
        <v>117</v>
      </c>
      <c r="AG58" t="s">
        <v>118</v>
      </c>
      <c r="AH58" t="s">
        <v>119</v>
      </c>
      <c r="AI58" t="s">
        <v>120</v>
      </c>
      <c r="AJ58" t="s">
        <v>121</v>
      </c>
      <c r="AK58" t="s">
        <v>122</v>
      </c>
      <c r="AL58" t="s">
        <v>164</v>
      </c>
      <c r="AM58" t="s">
        <v>165</v>
      </c>
      <c r="AN58" t="s">
        <v>166</v>
      </c>
      <c r="AO58"/>
      <c r="AP58"/>
      <c r="AQ58" t="s">
        <v>116</v>
      </c>
      <c r="AR58"/>
      <c r="AS58"/>
      <c r="AT58" t="s">
        <v>116</v>
      </c>
      <c r="AU58"/>
      <c r="AV58"/>
      <c r="AW58" t="s">
        <v>116</v>
      </c>
      <c r="AX58"/>
      <c r="AY58"/>
      <c r="AZ58" t="s">
        <v>116</v>
      </c>
      <c r="BA58"/>
      <c r="BB58"/>
      <c r="BC58" t="s">
        <v>116</v>
      </c>
      <c r="BD58"/>
      <c r="BE58"/>
      <c r="BF58" t="s">
        <v>116</v>
      </c>
      <c r="BG58"/>
      <c r="BH58"/>
      <c r="BI58" t="s">
        <v>116</v>
      </c>
      <c r="BJ58"/>
      <c r="BK58"/>
      <c r="BL58" s="8">
        <v>0</v>
      </c>
      <c r="BM58" s="8">
        <v>243.1</v>
      </c>
      <c r="BN58" s="8">
        <v>243.1</v>
      </c>
      <c r="BO58" s="8">
        <v>0</v>
      </c>
      <c r="BP58" s="8">
        <v>-243.1</v>
      </c>
      <c r="BQ58" s="8">
        <v>0</v>
      </c>
      <c r="BR58" s="8">
        <v>0</v>
      </c>
      <c r="BS58" s="8">
        <v>0</v>
      </c>
      <c r="BT58" s="8">
        <v>0</v>
      </c>
      <c r="BU58" s="8">
        <v>0</v>
      </c>
      <c r="BV58" s="8">
        <v>0</v>
      </c>
      <c r="BW58" s="8">
        <v>0</v>
      </c>
      <c r="BX58" s="8">
        <v>0</v>
      </c>
      <c r="BY58" t="s">
        <v>99</v>
      </c>
      <c r="BZ58" t="s">
        <v>123</v>
      </c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</row>
    <row r="59" spans="1:108" x14ac:dyDescent="0.25">
      <c r="A59" t="s">
        <v>99</v>
      </c>
      <c r="B59" t="s">
        <v>100</v>
      </c>
      <c r="C59" t="s">
        <v>5</v>
      </c>
      <c r="D59" t="s">
        <v>101</v>
      </c>
      <c r="E59" t="s">
        <v>102</v>
      </c>
      <c r="F59" t="s">
        <v>103</v>
      </c>
      <c r="G59" t="s">
        <v>104</v>
      </c>
      <c r="H59" t="s">
        <v>105</v>
      </c>
      <c r="I59" s="6" t="s">
        <v>106</v>
      </c>
      <c r="J59" s="6" t="s">
        <v>107</v>
      </c>
      <c r="K59" s="6" t="s">
        <v>108</v>
      </c>
      <c r="L59" s="6" t="s">
        <v>109</v>
      </c>
      <c r="M59" s="6" t="s">
        <v>110</v>
      </c>
      <c r="N59" s="6" t="s">
        <v>228</v>
      </c>
      <c r="O59" s="6" t="s">
        <v>112</v>
      </c>
      <c r="P59" s="6" t="s">
        <v>229</v>
      </c>
      <c r="Q59" s="6" t="s">
        <v>247</v>
      </c>
      <c r="R59" t="s">
        <v>112</v>
      </c>
      <c r="S59" t="s">
        <v>248</v>
      </c>
      <c r="T59"/>
      <c r="U59"/>
      <c r="V59" t="s">
        <v>116</v>
      </c>
      <c r="W59"/>
      <c r="X59"/>
      <c r="Y59" t="s">
        <v>116</v>
      </c>
      <c r="Z59"/>
      <c r="AA59"/>
      <c r="AB59" t="s">
        <v>116</v>
      </c>
      <c r="AC59"/>
      <c r="AD59"/>
      <c r="AE59" t="s">
        <v>116</v>
      </c>
      <c r="AF59" t="s">
        <v>117</v>
      </c>
      <c r="AG59" t="s">
        <v>118</v>
      </c>
      <c r="AH59" t="s">
        <v>119</v>
      </c>
      <c r="AI59" t="s">
        <v>120</v>
      </c>
      <c r="AJ59" t="s">
        <v>121</v>
      </c>
      <c r="AK59" t="s">
        <v>122</v>
      </c>
      <c r="AL59"/>
      <c r="AM59"/>
      <c r="AN59" t="s">
        <v>116</v>
      </c>
      <c r="AO59"/>
      <c r="AP59"/>
      <c r="AQ59" t="s">
        <v>116</v>
      </c>
      <c r="AR59"/>
      <c r="AS59"/>
      <c r="AT59" t="s">
        <v>116</v>
      </c>
      <c r="AU59"/>
      <c r="AV59"/>
      <c r="AW59" t="s">
        <v>116</v>
      </c>
      <c r="AX59"/>
      <c r="AY59"/>
      <c r="AZ59" t="s">
        <v>116</v>
      </c>
      <c r="BA59"/>
      <c r="BB59"/>
      <c r="BC59" t="s">
        <v>116</v>
      </c>
      <c r="BD59"/>
      <c r="BE59"/>
      <c r="BF59" t="s">
        <v>116</v>
      </c>
      <c r="BG59"/>
      <c r="BH59"/>
      <c r="BI59" t="s">
        <v>116</v>
      </c>
      <c r="BJ59"/>
      <c r="BK59"/>
      <c r="BL59" s="8">
        <v>1069.21</v>
      </c>
      <c r="BM59" s="8">
        <v>0</v>
      </c>
      <c r="BN59" s="8">
        <v>0</v>
      </c>
      <c r="BO59" s="8">
        <v>0</v>
      </c>
      <c r="BP59" s="8">
        <v>1069.21</v>
      </c>
      <c r="BQ59" s="8">
        <v>0</v>
      </c>
      <c r="BR59" s="8">
        <v>0</v>
      </c>
      <c r="BS59" s="8">
        <v>0</v>
      </c>
      <c r="BT59" s="8">
        <v>0</v>
      </c>
      <c r="BU59" s="8">
        <v>0</v>
      </c>
      <c r="BV59" s="8">
        <v>0</v>
      </c>
      <c r="BW59" s="8">
        <v>0</v>
      </c>
      <c r="BX59" s="8">
        <v>0</v>
      </c>
      <c r="BY59" t="s">
        <v>99</v>
      </c>
      <c r="BZ59" t="s">
        <v>123</v>
      </c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</row>
    <row r="60" spans="1:108" x14ac:dyDescent="0.25">
      <c r="A60" t="s">
        <v>99</v>
      </c>
      <c r="B60" t="s">
        <v>100</v>
      </c>
      <c r="C60" t="s">
        <v>5</v>
      </c>
      <c r="D60" t="s">
        <v>101</v>
      </c>
      <c r="E60" t="s">
        <v>102</v>
      </c>
      <c r="F60" t="s">
        <v>103</v>
      </c>
      <c r="G60" t="s">
        <v>104</v>
      </c>
      <c r="H60" t="s">
        <v>105</v>
      </c>
      <c r="I60" s="6" t="s">
        <v>106</v>
      </c>
      <c r="J60" s="6" t="s">
        <v>107</v>
      </c>
      <c r="K60" s="6" t="s">
        <v>108</v>
      </c>
      <c r="L60" s="6" t="s">
        <v>109</v>
      </c>
      <c r="M60" s="6" t="s">
        <v>110</v>
      </c>
      <c r="N60" s="6" t="s">
        <v>228</v>
      </c>
      <c r="O60" s="6" t="s">
        <v>112</v>
      </c>
      <c r="P60" s="6" t="s">
        <v>229</v>
      </c>
      <c r="Q60" s="6" t="s">
        <v>247</v>
      </c>
      <c r="R60" t="s">
        <v>112</v>
      </c>
      <c r="S60" t="s">
        <v>248</v>
      </c>
      <c r="T60"/>
      <c r="U60"/>
      <c r="V60" t="s">
        <v>116</v>
      </c>
      <c r="W60"/>
      <c r="X60"/>
      <c r="Y60" t="s">
        <v>116</v>
      </c>
      <c r="Z60"/>
      <c r="AA60"/>
      <c r="AB60" t="s">
        <v>116</v>
      </c>
      <c r="AC60"/>
      <c r="AD60"/>
      <c r="AE60" t="s">
        <v>116</v>
      </c>
      <c r="AF60" t="s">
        <v>117</v>
      </c>
      <c r="AG60" t="s">
        <v>118</v>
      </c>
      <c r="AH60" t="s">
        <v>119</v>
      </c>
      <c r="AI60" t="s">
        <v>120</v>
      </c>
      <c r="AJ60" t="s">
        <v>121</v>
      </c>
      <c r="AK60" t="s">
        <v>122</v>
      </c>
      <c r="AL60" t="s">
        <v>174</v>
      </c>
      <c r="AM60" t="s">
        <v>175</v>
      </c>
      <c r="AN60" t="s">
        <v>176</v>
      </c>
      <c r="AO60"/>
      <c r="AP60"/>
      <c r="AQ60" t="s">
        <v>116</v>
      </c>
      <c r="AR60"/>
      <c r="AS60"/>
      <c r="AT60" t="s">
        <v>116</v>
      </c>
      <c r="AU60"/>
      <c r="AV60"/>
      <c r="AW60" t="s">
        <v>116</v>
      </c>
      <c r="AX60"/>
      <c r="AY60"/>
      <c r="AZ60" t="s">
        <v>116</v>
      </c>
      <c r="BA60"/>
      <c r="BB60"/>
      <c r="BC60" t="s">
        <v>116</v>
      </c>
      <c r="BD60"/>
      <c r="BE60"/>
      <c r="BF60" t="s">
        <v>116</v>
      </c>
      <c r="BG60"/>
      <c r="BH60"/>
      <c r="BI60" t="s">
        <v>116</v>
      </c>
      <c r="BJ60"/>
      <c r="BK60"/>
      <c r="BL60" s="8">
        <v>0</v>
      </c>
      <c r="BM60" s="8">
        <v>224.76</v>
      </c>
      <c r="BN60" s="8">
        <v>224.76</v>
      </c>
      <c r="BO60" s="8">
        <v>0</v>
      </c>
      <c r="BP60" s="8">
        <v>-224.76</v>
      </c>
      <c r="BQ60" s="8">
        <v>0</v>
      </c>
      <c r="BR60" s="8">
        <v>0</v>
      </c>
      <c r="BS60" s="8">
        <v>0</v>
      </c>
      <c r="BT60" s="8">
        <v>0</v>
      </c>
      <c r="BU60" s="8">
        <v>0</v>
      </c>
      <c r="BV60" s="8">
        <v>0</v>
      </c>
      <c r="BW60" s="8">
        <v>0</v>
      </c>
      <c r="BX60" s="8">
        <v>0</v>
      </c>
      <c r="BY60" t="s">
        <v>99</v>
      </c>
      <c r="BZ60" t="s">
        <v>123</v>
      </c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</row>
    <row r="61" spans="1:108" x14ac:dyDescent="0.25">
      <c r="A61" t="s">
        <v>99</v>
      </c>
      <c r="B61" t="s">
        <v>100</v>
      </c>
      <c r="C61" t="s">
        <v>5</v>
      </c>
      <c r="D61" t="s">
        <v>101</v>
      </c>
      <c r="E61" t="s">
        <v>102</v>
      </c>
      <c r="F61" t="s">
        <v>103</v>
      </c>
      <c r="G61" t="s">
        <v>104</v>
      </c>
      <c r="H61" t="s">
        <v>105</v>
      </c>
      <c r="I61" s="6" t="s">
        <v>106</v>
      </c>
      <c r="J61" s="6" t="s">
        <v>107</v>
      </c>
      <c r="K61" s="6" t="s">
        <v>108</v>
      </c>
      <c r="L61" s="6" t="s">
        <v>109</v>
      </c>
      <c r="M61" s="6" t="s">
        <v>110</v>
      </c>
      <c r="N61" s="6" t="s">
        <v>228</v>
      </c>
      <c r="O61" s="6" t="s">
        <v>112</v>
      </c>
      <c r="P61" s="6" t="s">
        <v>229</v>
      </c>
      <c r="Q61" s="6" t="s">
        <v>247</v>
      </c>
      <c r="R61" t="s">
        <v>112</v>
      </c>
      <c r="S61" t="s">
        <v>248</v>
      </c>
      <c r="T61"/>
      <c r="U61"/>
      <c r="V61" t="s">
        <v>116</v>
      </c>
      <c r="W61"/>
      <c r="X61"/>
      <c r="Y61" t="s">
        <v>116</v>
      </c>
      <c r="Z61"/>
      <c r="AA61"/>
      <c r="AB61" t="s">
        <v>116</v>
      </c>
      <c r="AC61"/>
      <c r="AD61"/>
      <c r="AE61" t="s">
        <v>116</v>
      </c>
      <c r="AF61" t="s">
        <v>117</v>
      </c>
      <c r="AG61" t="s">
        <v>118</v>
      </c>
      <c r="AH61" t="s">
        <v>119</v>
      </c>
      <c r="AI61" t="s">
        <v>120</v>
      </c>
      <c r="AJ61" t="s">
        <v>121</v>
      </c>
      <c r="AK61" t="s">
        <v>122</v>
      </c>
      <c r="AL61" t="s">
        <v>164</v>
      </c>
      <c r="AM61" t="s">
        <v>165</v>
      </c>
      <c r="AN61" t="s">
        <v>166</v>
      </c>
      <c r="AO61"/>
      <c r="AP61"/>
      <c r="AQ61" t="s">
        <v>116</v>
      </c>
      <c r="AR61"/>
      <c r="AS61"/>
      <c r="AT61" t="s">
        <v>116</v>
      </c>
      <c r="AU61"/>
      <c r="AV61"/>
      <c r="AW61" t="s">
        <v>116</v>
      </c>
      <c r="AX61"/>
      <c r="AY61"/>
      <c r="AZ61" t="s">
        <v>116</v>
      </c>
      <c r="BA61"/>
      <c r="BB61"/>
      <c r="BC61" t="s">
        <v>116</v>
      </c>
      <c r="BD61"/>
      <c r="BE61"/>
      <c r="BF61" t="s">
        <v>116</v>
      </c>
      <c r="BG61"/>
      <c r="BH61"/>
      <c r="BI61" t="s">
        <v>116</v>
      </c>
      <c r="BJ61"/>
      <c r="BK61"/>
      <c r="BL61" s="8">
        <v>0</v>
      </c>
      <c r="BM61" s="8">
        <v>162.44999999999999</v>
      </c>
      <c r="BN61" s="8">
        <v>162.44999999999999</v>
      </c>
      <c r="BO61" s="8">
        <v>0</v>
      </c>
      <c r="BP61" s="8">
        <v>-162.44999999999999</v>
      </c>
      <c r="BQ61" s="8">
        <v>0</v>
      </c>
      <c r="BR61" s="8">
        <v>0</v>
      </c>
      <c r="BS61" s="8">
        <v>0</v>
      </c>
      <c r="BT61" s="8">
        <v>0</v>
      </c>
      <c r="BU61" s="8">
        <v>0</v>
      </c>
      <c r="BV61" s="8">
        <v>0</v>
      </c>
      <c r="BW61" s="8">
        <v>0</v>
      </c>
      <c r="BX61" s="8">
        <v>0</v>
      </c>
      <c r="BY61" t="s">
        <v>99</v>
      </c>
      <c r="BZ61" t="s">
        <v>123</v>
      </c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</row>
    <row r="62" spans="1:108" x14ac:dyDescent="0.25">
      <c r="A62" t="s">
        <v>99</v>
      </c>
      <c r="B62" t="s">
        <v>100</v>
      </c>
      <c r="C62" t="s">
        <v>5</v>
      </c>
      <c r="D62" t="s">
        <v>101</v>
      </c>
      <c r="E62" t="s">
        <v>102</v>
      </c>
      <c r="F62" t="s">
        <v>103</v>
      </c>
      <c r="G62" t="s">
        <v>104</v>
      </c>
      <c r="H62" t="s">
        <v>105</v>
      </c>
      <c r="I62" s="6" t="s">
        <v>106</v>
      </c>
      <c r="J62" s="6" t="s">
        <v>107</v>
      </c>
      <c r="K62" s="6" t="s">
        <v>108</v>
      </c>
      <c r="L62" s="6" t="s">
        <v>109</v>
      </c>
      <c r="M62" s="6" t="s">
        <v>110</v>
      </c>
      <c r="N62" s="6" t="s">
        <v>228</v>
      </c>
      <c r="O62" s="6" t="s">
        <v>112</v>
      </c>
      <c r="P62" s="6" t="s">
        <v>229</v>
      </c>
      <c r="Q62" s="6" t="s">
        <v>247</v>
      </c>
      <c r="R62" t="s">
        <v>112</v>
      </c>
      <c r="S62" t="s">
        <v>248</v>
      </c>
      <c r="T62"/>
      <c r="U62"/>
      <c r="V62" t="s">
        <v>116</v>
      </c>
      <c r="W62"/>
      <c r="X62"/>
      <c r="Y62" t="s">
        <v>116</v>
      </c>
      <c r="Z62"/>
      <c r="AA62"/>
      <c r="AB62" t="s">
        <v>116</v>
      </c>
      <c r="AC62"/>
      <c r="AD62"/>
      <c r="AE62" t="s">
        <v>116</v>
      </c>
      <c r="AF62" t="s">
        <v>117</v>
      </c>
      <c r="AG62" t="s">
        <v>118</v>
      </c>
      <c r="AH62" t="s">
        <v>119</v>
      </c>
      <c r="AI62" t="s">
        <v>120</v>
      </c>
      <c r="AJ62" t="s">
        <v>121</v>
      </c>
      <c r="AK62" t="s">
        <v>122</v>
      </c>
      <c r="AL62" t="s">
        <v>238</v>
      </c>
      <c r="AM62" t="s">
        <v>239</v>
      </c>
      <c r="AN62" t="s">
        <v>240</v>
      </c>
      <c r="AO62"/>
      <c r="AP62"/>
      <c r="AQ62" t="s">
        <v>116</v>
      </c>
      <c r="AR62"/>
      <c r="AS62"/>
      <c r="AT62" t="s">
        <v>116</v>
      </c>
      <c r="AU62"/>
      <c r="AV62"/>
      <c r="AW62" t="s">
        <v>116</v>
      </c>
      <c r="AX62"/>
      <c r="AY62"/>
      <c r="AZ62" t="s">
        <v>116</v>
      </c>
      <c r="BA62"/>
      <c r="BB62"/>
      <c r="BC62" t="s">
        <v>116</v>
      </c>
      <c r="BD62"/>
      <c r="BE62"/>
      <c r="BF62" t="s">
        <v>116</v>
      </c>
      <c r="BG62"/>
      <c r="BH62"/>
      <c r="BI62" t="s">
        <v>116</v>
      </c>
      <c r="BJ62"/>
      <c r="BK62"/>
      <c r="BL62" s="8">
        <v>0</v>
      </c>
      <c r="BM62" s="8">
        <v>682</v>
      </c>
      <c r="BN62" s="8">
        <v>682</v>
      </c>
      <c r="BO62" s="8">
        <v>0</v>
      </c>
      <c r="BP62" s="8">
        <v>-682</v>
      </c>
      <c r="BQ62" s="8">
        <v>0</v>
      </c>
      <c r="BR62" s="8">
        <v>0</v>
      </c>
      <c r="BS62" s="8">
        <v>0</v>
      </c>
      <c r="BT62" s="8">
        <v>0</v>
      </c>
      <c r="BU62" s="8">
        <v>0</v>
      </c>
      <c r="BV62" s="8">
        <v>0</v>
      </c>
      <c r="BW62" s="8">
        <v>0</v>
      </c>
      <c r="BX62" s="8">
        <v>0</v>
      </c>
      <c r="BY62" t="s">
        <v>99</v>
      </c>
      <c r="BZ62" t="s">
        <v>123</v>
      </c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</row>
    <row r="63" spans="1:108" x14ac:dyDescent="0.25">
      <c r="A63" t="s">
        <v>99</v>
      </c>
      <c r="B63" t="s">
        <v>100</v>
      </c>
      <c r="C63" t="s">
        <v>5</v>
      </c>
      <c r="D63" t="s">
        <v>101</v>
      </c>
      <c r="E63" t="s">
        <v>102</v>
      </c>
      <c r="F63" t="s">
        <v>103</v>
      </c>
      <c r="G63" t="s">
        <v>104</v>
      </c>
      <c r="H63" t="s">
        <v>105</v>
      </c>
      <c r="I63" s="6" t="s">
        <v>106</v>
      </c>
      <c r="J63" s="6" t="s">
        <v>107</v>
      </c>
      <c r="K63" s="6" t="s">
        <v>108</v>
      </c>
      <c r="L63" s="6" t="s">
        <v>109</v>
      </c>
      <c r="M63" s="6" t="s">
        <v>110</v>
      </c>
      <c r="N63" s="6" t="s">
        <v>228</v>
      </c>
      <c r="O63" s="6" t="s">
        <v>112</v>
      </c>
      <c r="P63" s="6" t="s">
        <v>229</v>
      </c>
      <c r="Q63" s="6" t="s">
        <v>249</v>
      </c>
      <c r="R63" t="s">
        <v>112</v>
      </c>
      <c r="S63" t="s">
        <v>250</v>
      </c>
      <c r="T63"/>
      <c r="U63"/>
      <c r="V63" t="s">
        <v>116</v>
      </c>
      <c r="W63"/>
      <c r="X63"/>
      <c r="Y63" t="s">
        <v>116</v>
      </c>
      <c r="Z63"/>
      <c r="AA63"/>
      <c r="AB63" t="s">
        <v>116</v>
      </c>
      <c r="AC63"/>
      <c r="AD63"/>
      <c r="AE63" t="s">
        <v>116</v>
      </c>
      <c r="AF63" t="s">
        <v>117</v>
      </c>
      <c r="AG63" t="s">
        <v>118</v>
      </c>
      <c r="AH63" t="s">
        <v>119</v>
      </c>
      <c r="AI63" t="s">
        <v>120</v>
      </c>
      <c r="AJ63" t="s">
        <v>121</v>
      </c>
      <c r="AK63" t="s">
        <v>122</v>
      </c>
      <c r="AL63"/>
      <c r="AM63"/>
      <c r="AN63" t="s">
        <v>116</v>
      </c>
      <c r="AO63"/>
      <c r="AP63"/>
      <c r="AQ63" t="s">
        <v>116</v>
      </c>
      <c r="AR63"/>
      <c r="AS63"/>
      <c r="AT63" t="s">
        <v>116</v>
      </c>
      <c r="AU63"/>
      <c r="AV63"/>
      <c r="AW63" t="s">
        <v>116</v>
      </c>
      <c r="AX63"/>
      <c r="AY63"/>
      <c r="AZ63" t="s">
        <v>116</v>
      </c>
      <c r="BA63"/>
      <c r="BB63"/>
      <c r="BC63" t="s">
        <v>116</v>
      </c>
      <c r="BD63"/>
      <c r="BE63"/>
      <c r="BF63" t="s">
        <v>116</v>
      </c>
      <c r="BG63"/>
      <c r="BH63"/>
      <c r="BI63" t="s">
        <v>116</v>
      </c>
      <c r="BJ63"/>
      <c r="BK63"/>
      <c r="BL63" s="8">
        <v>1310.85</v>
      </c>
      <c r="BM63" s="8">
        <v>0</v>
      </c>
      <c r="BN63" s="8">
        <v>0</v>
      </c>
      <c r="BO63" s="8">
        <v>0</v>
      </c>
      <c r="BP63" s="8">
        <v>1310.85</v>
      </c>
      <c r="BQ63" s="8">
        <v>0</v>
      </c>
      <c r="BR63" s="8">
        <v>0</v>
      </c>
      <c r="BS63" s="8">
        <v>0</v>
      </c>
      <c r="BT63" s="8">
        <v>0</v>
      </c>
      <c r="BU63" s="8">
        <v>0</v>
      </c>
      <c r="BV63" s="8">
        <v>0</v>
      </c>
      <c r="BW63" s="8">
        <v>0</v>
      </c>
      <c r="BX63" s="8">
        <v>0</v>
      </c>
      <c r="BY63" t="s">
        <v>99</v>
      </c>
      <c r="BZ63" t="s">
        <v>123</v>
      </c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</row>
    <row r="64" spans="1:108" x14ac:dyDescent="0.25">
      <c r="A64" t="s">
        <v>99</v>
      </c>
      <c r="B64" t="s">
        <v>100</v>
      </c>
      <c r="C64" t="s">
        <v>5</v>
      </c>
      <c r="D64" t="s">
        <v>101</v>
      </c>
      <c r="E64" t="s">
        <v>102</v>
      </c>
      <c r="F64" t="s">
        <v>103</v>
      </c>
      <c r="G64" t="s">
        <v>104</v>
      </c>
      <c r="H64" t="s">
        <v>105</v>
      </c>
      <c r="I64" s="6" t="s">
        <v>106</v>
      </c>
      <c r="J64" s="6" t="s">
        <v>107</v>
      </c>
      <c r="K64" s="6" t="s">
        <v>108</v>
      </c>
      <c r="L64" s="6" t="s">
        <v>109</v>
      </c>
      <c r="M64" s="6" t="s">
        <v>110</v>
      </c>
      <c r="N64" s="6" t="s">
        <v>228</v>
      </c>
      <c r="O64" s="6" t="s">
        <v>112</v>
      </c>
      <c r="P64" s="6" t="s">
        <v>229</v>
      </c>
      <c r="Q64" s="6" t="s">
        <v>249</v>
      </c>
      <c r="R64" t="s">
        <v>112</v>
      </c>
      <c r="S64" t="s">
        <v>250</v>
      </c>
      <c r="T64"/>
      <c r="U64"/>
      <c r="V64" t="s">
        <v>116</v>
      </c>
      <c r="W64"/>
      <c r="X64"/>
      <c r="Y64" t="s">
        <v>116</v>
      </c>
      <c r="Z64"/>
      <c r="AA64"/>
      <c r="AB64" t="s">
        <v>116</v>
      </c>
      <c r="AC64"/>
      <c r="AD64"/>
      <c r="AE64" t="s">
        <v>116</v>
      </c>
      <c r="AF64" t="s">
        <v>117</v>
      </c>
      <c r="AG64" t="s">
        <v>118</v>
      </c>
      <c r="AH64" t="s">
        <v>119</v>
      </c>
      <c r="AI64" t="s">
        <v>120</v>
      </c>
      <c r="AJ64" t="s">
        <v>121</v>
      </c>
      <c r="AK64" t="s">
        <v>122</v>
      </c>
      <c r="AL64" t="s">
        <v>221</v>
      </c>
      <c r="AM64" t="s">
        <v>222</v>
      </c>
      <c r="AN64" t="s">
        <v>223</v>
      </c>
      <c r="AO64"/>
      <c r="AP64"/>
      <c r="AQ64" t="s">
        <v>116</v>
      </c>
      <c r="AR64"/>
      <c r="AS64"/>
      <c r="AT64" t="s">
        <v>116</v>
      </c>
      <c r="AU64"/>
      <c r="AV64"/>
      <c r="AW64" t="s">
        <v>116</v>
      </c>
      <c r="AX64"/>
      <c r="AY64"/>
      <c r="AZ64" t="s">
        <v>116</v>
      </c>
      <c r="BA64"/>
      <c r="BB64"/>
      <c r="BC64" t="s">
        <v>116</v>
      </c>
      <c r="BD64"/>
      <c r="BE64"/>
      <c r="BF64" t="s">
        <v>116</v>
      </c>
      <c r="BG64"/>
      <c r="BH64"/>
      <c r="BI64" t="s">
        <v>116</v>
      </c>
      <c r="BJ64"/>
      <c r="BK64"/>
      <c r="BL64" s="8">
        <v>0</v>
      </c>
      <c r="BM64" s="8">
        <v>1000</v>
      </c>
      <c r="BN64" s="8">
        <v>1000</v>
      </c>
      <c r="BO64" s="8">
        <v>0</v>
      </c>
      <c r="BP64" s="8">
        <v>-1000</v>
      </c>
      <c r="BQ64" s="8">
        <v>0</v>
      </c>
      <c r="BR64" s="8">
        <v>0</v>
      </c>
      <c r="BS64" s="8">
        <v>0</v>
      </c>
      <c r="BT64" s="8">
        <v>0</v>
      </c>
      <c r="BU64" s="8">
        <v>0</v>
      </c>
      <c r="BV64" s="8">
        <v>0</v>
      </c>
      <c r="BW64" s="8">
        <v>0</v>
      </c>
      <c r="BX64" s="8">
        <v>0</v>
      </c>
      <c r="BY64" t="s">
        <v>99</v>
      </c>
      <c r="BZ64" t="s">
        <v>123</v>
      </c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/>
    </row>
    <row r="65" spans="1:108" x14ac:dyDescent="0.25">
      <c r="A65" t="s">
        <v>99</v>
      </c>
      <c r="B65" t="s">
        <v>100</v>
      </c>
      <c r="C65" t="s">
        <v>5</v>
      </c>
      <c r="D65" t="s">
        <v>101</v>
      </c>
      <c r="E65" t="s">
        <v>102</v>
      </c>
      <c r="F65" t="s">
        <v>103</v>
      </c>
      <c r="G65" t="s">
        <v>104</v>
      </c>
      <c r="H65" t="s">
        <v>105</v>
      </c>
      <c r="I65" s="6" t="s">
        <v>106</v>
      </c>
      <c r="J65" s="6" t="s">
        <v>107</v>
      </c>
      <c r="K65" s="6" t="s">
        <v>108</v>
      </c>
      <c r="L65" s="6" t="s">
        <v>109</v>
      </c>
      <c r="M65" s="6" t="s">
        <v>110</v>
      </c>
      <c r="N65" s="6" t="s">
        <v>228</v>
      </c>
      <c r="O65" s="6" t="s">
        <v>112</v>
      </c>
      <c r="P65" s="6" t="s">
        <v>229</v>
      </c>
      <c r="Q65" s="6" t="s">
        <v>249</v>
      </c>
      <c r="R65" t="s">
        <v>112</v>
      </c>
      <c r="S65" t="s">
        <v>250</v>
      </c>
      <c r="T65"/>
      <c r="U65"/>
      <c r="V65" t="s">
        <v>116</v>
      </c>
      <c r="W65"/>
      <c r="X65"/>
      <c r="Y65" t="s">
        <v>116</v>
      </c>
      <c r="Z65"/>
      <c r="AA65"/>
      <c r="AB65" t="s">
        <v>116</v>
      </c>
      <c r="AC65"/>
      <c r="AD65"/>
      <c r="AE65" t="s">
        <v>116</v>
      </c>
      <c r="AF65" t="s">
        <v>117</v>
      </c>
      <c r="AG65" t="s">
        <v>118</v>
      </c>
      <c r="AH65" t="s">
        <v>119</v>
      </c>
      <c r="AI65" t="s">
        <v>120</v>
      </c>
      <c r="AJ65" t="s">
        <v>121</v>
      </c>
      <c r="AK65" t="s">
        <v>122</v>
      </c>
      <c r="AL65" t="s">
        <v>159</v>
      </c>
      <c r="AM65" t="s">
        <v>160</v>
      </c>
      <c r="AN65" t="s">
        <v>161</v>
      </c>
      <c r="AO65"/>
      <c r="AP65"/>
      <c r="AQ65" t="s">
        <v>116</v>
      </c>
      <c r="AR65"/>
      <c r="AS65"/>
      <c r="AT65" t="s">
        <v>116</v>
      </c>
      <c r="AU65"/>
      <c r="AV65"/>
      <c r="AW65" t="s">
        <v>116</v>
      </c>
      <c r="AX65"/>
      <c r="AY65"/>
      <c r="AZ65" t="s">
        <v>116</v>
      </c>
      <c r="BA65"/>
      <c r="BB65"/>
      <c r="BC65" t="s">
        <v>116</v>
      </c>
      <c r="BD65"/>
      <c r="BE65"/>
      <c r="BF65" t="s">
        <v>116</v>
      </c>
      <c r="BG65"/>
      <c r="BH65"/>
      <c r="BI65" t="s">
        <v>116</v>
      </c>
      <c r="BJ65"/>
      <c r="BK65"/>
      <c r="BL65" s="8">
        <v>0</v>
      </c>
      <c r="BM65" s="8">
        <v>127.72</v>
      </c>
      <c r="BN65" s="8">
        <v>127.72</v>
      </c>
      <c r="BO65" s="8">
        <v>0</v>
      </c>
      <c r="BP65" s="8">
        <v>-127.72</v>
      </c>
      <c r="BQ65" s="8">
        <v>0</v>
      </c>
      <c r="BR65" s="8">
        <v>0</v>
      </c>
      <c r="BS65" s="8">
        <v>0</v>
      </c>
      <c r="BT65" s="8">
        <v>0</v>
      </c>
      <c r="BU65" s="8">
        <v>0</v>
      </c>
      <c r="BV65" s="8">
        <v>0</v>
      </c>
      <c r="BW65" s="8">
        <v>0</v>
      </c>
      <c r="BX65" s="8">
        <v>0</v>
      </c>
      <c r="BY65" t="s">
        <v>99</v>
      </c>
      <c r="BZ65" t="s">
        <v>123</v>
      </c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  <c r="CX65"/>
      <c r="CY65"/>
      <c r="CZ65"/>
      <c r="DA65"/>
      <c r="DB65"/>
      <c r="DC65"/>
      <c r="DD65"/>
    </row>
    <row r="66" spans="1:108" x14ac:dyDescent="0.25">
      <c r="A66" t="s">
        <v>99</v>
      </c>
      <c r="B66" t="s">
        <v>100</v>
      </c>
      <c r="C66" t="s">
        <v>5</v>
      </c>
      <c r="D66" t="s">
        <v>101</v>
      </c>
      <c r="E66" t="s">
        <v>102</v>
      </c>
      <c r="F66" t="s">
        <v>103</v>
      </c>
      <c r="G66" t="s">
        <v>104</v>
      </c>
      <c r="H66" t="s">
        <v>105</v>
      </c>
      <c r="I66" s="6" t="s">
        <v>106</v>
      </c>
      <c r="J66" s="6" t="s">
        <v>107</v>
      </c>
      <c r="K66" s="6" t="s">
        <v>251</v>
      </c>
      <c r="L66" s="6" t="s">
        <v>252</v>
      </c>
      <c r="M66" s="6" t="s">
        <v>253</v>
      </c>
      <c r="N66" s="6" t="s">
        <v>254</v>
      </c>
      <c r="O66" s="6" t="s">
        <v>112</v>
      </c>
      <c r="P66" s="6" t="s">
        <v>255</v>
      </c>
      <c r="Q66" s="6" t="s">
        <v>256</v>
      </c>
      <c r="R66" t="s">
        <v>112</v>
      </c>
      <c r="S66" t="s">
        <v>257</v>
      </c>
      <c r="T66"/>
      <c r="U66"/>
      <c r="V66" t="s">
        <v>116</v>
      </c>
      <c r="W66"/>
      <c r="X66"/>
      <c r="Y66" t="s">
        <v>116</v>
      </c>
      <c r="Z66"/>
      <c r="AA66"/>
      <c r="AB66" t="s">
        <v>116</v>
      </c>
      <c r="AC66"/>
      <c r="AD66"/>
      <c r="AE66" t="s">
        <v>116</v>
      </c>
      <c r="AF66" t="s">
        <v>117</v>
      </c>
      <c r="AG66" t="s">
        <v>118</v>
      </c>
      <c r="AH66" t="s">
        <v>119</v>
      </c>
      <c r="AI66" t="s">
        <v>120</v>
      </c>
      <c r="AJ66" t="s">
        <v>121</v>
      </c>
      <c r="AK66" t="s">
        <v>122</v>
      </c>
      <c r="AL66"/>
      <c r="AM66"/>
      <c r="AN66" t="s">
        <v>116</v>
      </c>
      <c r="AO66"/>
      <c r="AP66"/>
      <c r="AQ66" t="s">
        <v>116</v>
      </c>
      <c r="AR66"/>
      <c r="AS66"/>
      <c r="AT66" t="s">
        <v>116</v>
      </c>
      <c r="AU66"/>
      <c r="AV66"/>
      <c r="AW66" t="s">
        <v>116</v>
      </c>
      <c r="AX66"/>
      <c r="AY66"/>
      <c r="AZ66" t="s">
        <v>116</v>
      </c>
      <c r="BA66"/>
      <c r="BB66"/>
      <c r="BC66" t="s">
        <v>116</v>
      </c>
      <c r="BD66"/>
      <c r="BE66"/>
      <c r="BF66" t="s">
        <v>116</v>
      </c>
      <c r="BG66"/>
      <c r="BH66"/>
      <c r="BI66" t="s">
        <v>116</v>
      </c>
      <c r="BJ66"/>
      <c r="BK66"/>
      <c r="BL66" s="8">
        <v>408210.72</v>
      </c>
      <c r="BM66" s="8">
        <v>0</v>
      </c>
      <c r="BN66" s="8">
        <v>0</v>
      </c>
      <c r="BO66" s="8">
        <v>0</v>
      </c>
      <c r="BP66" s="8">
        <v>408210.72</v>
      </c>
      <c r="BQ66" s="8">
        <v>0</v>
      </c>
      <c r="BR66" s="8">
        <v>0</v>
      </c>
      <c r="BS66" s="8">
        <v>0</v>
      </c>
      <c r="BT66" s="8">
        <v>0</v>
      </c>
      <c r="BU66" s="8">
        <v>0</v>
      </c>
      <c r="BV66" s="8">
        <v>0</v>
      </c>
      <c r="BW66" s="8">
        <v>0</v>
      </c>
      <c r="BX66" s="8">
        <v>0</v>
      </c>
      <c r="BY66" t="s">
        <v>99</v>
      </c>
      <c r="BZ66" t="s">
        <v>123</v>
      </c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/>
      <c r="CX66"/>
      <c r="CY66"/>
      <c r="CZ66"/>
      <c r="DA66"/>
      <c r="DB66"/>
      <c r="DC66"/>
      <c r="DD66"/>
    </row>
    <row r="67" spans="1:108" x14ac:dyDescent="0.25">
      <c r="A67" t="s">
        <v>99</v>
      </c>
      <c r="B67" t="s">
        <v>100</v>
      </c>
      <c r="C67" t="s">
        <v>5</v>
      </c>
      <c r="D67" t="s">
        <v>101</v>
      </c>
      <c r="E67" t="s">
        <v>102</v>
      </c>
      <c r="F67" t="s">
        <v>103</v>
      </c>
      <c r="G67" t="s">
        <v>104</v>
      </c>
      <c r="H67" t="s">
        <v>105</v>
      </c>
      <c r="I67" s="6" t="s">
        <v>106</v>
      </c>
      <c r="J67" s="6" t="s">
        <v>107</v>
      </c>
      <c r="K67" s="6" t="s">
        <v>251</v>
      </c>
      <c r="L67" s="6" t="s">
        <v>252</v>
      </c>
      <c r="M67" s="6" t="s">
        <v>253</v>
      </c>
      <c r="N67" s="6" t="s">
        <v>254</v>
      </c>
      <c r="O67" s="6" t="s">
        <v>112</v>
      </c>
      <c r="P67" s="6" t="s">
        <v>255</v>
      </c>
      <c r="Q67" s="6" t="s">
        <v>256</v>
      </c>
      <c r="R67" t="s">
        <v>112</v>
      </c>
      <c r="S67" t="s">
        <v>257</v>
      </c>
      <c r="T67"/>
      <c r="U67"/>
      <c r="V67" t="s">
        <v>116</v>
      </c>
      <c r="W67"/>
      <c r="X67"/>
      <c r="Y67" t="s">
        <v>116</v>
      </c>
      <c r="Z67"/>
      <c r="AA67"/>
      <c r="AB67" t="s">
        <v>116</v>
      </c>
      <c r="AC67"/>
      <c r="AD67"/>
      <c r="AE67" t="s">
        <v>116</v>
      </c>
      <c r="AF67" t="s">
        <v>117</v>
      </c>
      <c r="AG67" t="s">
        <v>118</v>
      </c>
      <c r="AH67" t="s">
        <v>119</v>
      </c>
      <c r="AI67" t="s">
        <v>120</v>
      </c>
      <c r="AJ67" t="s">
        <v>121</v>
      </c>
      <c r="AK67" t="s">
        <v>122</v>
      </c>
      <c r="AL67" t="s">
        <v>258</v>
      </c>
      <c r="AM67" t="s">
        <v>259</v>
      </c>
      <c r="AN67" t="s">
        <v>260</v>
      </c>
      <c r="AO67"/>
      <c r="AP67"/>
      <c r="AQ67" t="s">
        <v>116</v>
      </c>
      <c r="AR67"/>
      <c r="AS67"/>
      <c r="AT67" t="s">
        <v>116</v>
      </c>
      <c r="AU67"/>
      <c r="AV67"/>
      <c r="AW67" t="s">
        <v>116</v>
      </c>
      <c r="AX67"/>
      <c r="AY67"/>
      <c r="AZ67" t="s">
        <v>116</v>
      </c>
      <c r="BA67"/>
      <c r="BB67"/>
      <c r="BC67" t="s">
        <v>116</v>
      </c>
      <c r="BD67"/>
      <c r="BE67"/>
      <c r="BF67" t="s">
        <v>116</v>
      </c>
      <c r="BG67"/>
      <c r="BH67"/>
      <c r="BI67" t="s">
        <v>116</v>
      </c>
      <c r="BJ67"/>
      <c r="BK67"/>
      <c r="BL67" s="8">
        <v>0</v>
      </c>
      <c r="BM67" s="8">
        <v>408210.72</v>
      </c>
      <c r="BN67" s="8">
        <v>408210.72</v>
      </c>
      <c r="BO67" s="8">
        <v>0</v>
      </c>
      <c r="BP67" s="8">
        <v>-408210.72</v>
      </c>
      <c r="BQ67" s="8">
        <v>0</v>
      </c>
      <c r="BR67" s="8">
        <v>0</v>
      </c>
      <c r="BS67" s="8">
        <v>0</v>
      </c>
      <c r="BT67" s="8">
        <v>0</v>
      </c>
      <c r="BU67" s="8">
        <v>0</v>
      </c>
      <c r="BV67" s="8">
        <v>0</v>
      </c>
      <c r="BW67" s="8">
        <v>0</v>
      </c>
      <c r="BX67" s="8">
        <v>0</v>
      </c>
      <c r="BY67" t="s">
        <v>99</v>
      </c>
      <c r="BZ67" t="s">
        <v>123</v>
      </c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  <c r="DD67"/>
    </row>
    <row r="68" spans="1:108" x14ac:dyDescent="0.25">
      <c r="A68" t="s">
        <v>99</v>
      </c>
      <c r="B68" t="s">
        <v>100</v>
      </c>
      <c r="C68" t="s">
        <v>5</v>
      </c>
      <c r="D68" t="s">
        <v>101</v>
      </c>
      <c r="E68" t="s">
        <v>102</v>
      </c>
      <c r="F68" t="s">
        <v>103</v>
      </c>
      <c r="G68" t="s">
        <v>104</v>
      </c>
      <c r="H68" t="s">
        <v>105</v>
      </c>
      <c r="I68" s="6" t="s">
        <v>106</v>
      </c>
      <c r="J68" s="6" t="s">
        <v>107</v>
      </c>
      <c r="K68" s="6" t="s">
        <v>251</v>
      </c>
      <c r="L68" s="6" t="s">
        <v>252</v>
      </c>
      <c r="M68" s="6" t="s">
        <v>253</v>
      </c>
      <c r="N68" s="6" t="s">
        <v>261</v>
      </c>
      <c r="O68" s="6" t="s">
        <v>112</v>
      </c>
      <c r="P68" s="6" t="s">
        <v>262</v>
      </c>
      <c r="Q68" s="6" t="s">
        <v>263</v>
      </c>
      <c r="R68" t="s">
        <v>112</v>
      </c>
      <c r="S68" t="s">
        <v>264</v>
      </c>
      <c r="T68"/>
      <c r="U68"/>
      <c r="V68" t="s">
        <v>116</v>
      </c>
      <c r="W68"/>
      <c r="X68"/>
      <c r="Y68" t="s">
        <v>116</v>
      </c>
      <c r="Z68"/>
      <c r="AA68"/>
      <c r="AB68" t="s">
        <v>116</v>
      </c>
      <c r="AC68"/>
      <c r="AD68"/>
      <c r="AE68" t="s">
        <v>116</v>
      </c>
      <c r="AF68" t="s">
        <v>117</v>
      </c>
      <c r="AG68" t="s">
        <v>118</v>
      </c>
      <c r="AH68" t="s">
        <v>119</v>
      </c>
      <c r="AI68" t="s">
        <v>120</v>
      </c>
      <c r="AJ68" t="s">
        <v>121</v>
      </c>
      <c r="AK68" t="s">
        <v>122</v>
      </c>
      <c r="AL68"/>
      <c r="AM68"/>
      <c r="AN68" t="s">
        <v>116</v>
      </c>
      <c r="AO68"/>
      <c r="AP68"/>
      <c r="AQ68" t="s">
        <v>116</v>
      </c>
      <c r="AR68"/>
      <c r="AS68"/>
      <c r="AT68" t="s">
        <v>116</v>
      </c>
      <c r="AU68"/>
      <c r="AV68"/>
      <c r="AW68" t="s">
        <v>116</v>
      </c>
      <c r="AX68"/>
      <c r="AY68"/>
      <c r="AZ68" t="s">
        <v>116</v>
      </c>
      <c r="BA68"/>
      <c r="BB68"/>
      <c r="BC68" t="s">
        <v>116</v>
      </c>
      <c r="BD68"/>
      <c r="BE68"/>
      <c r="BF68" t="s">
        <v>116</v>
      </c>
      <c r="BG68"/>
      <c r="BH68"/>
      <c r="BI68" t="s">
        <v>116</v>
      </c>
      <c r="BJ68"/>
      <c r="BK68"/>
      <c r="BL68" s="8">
        <v>6231.7</v>
      </c>
      <c r="BM68" s="8">
        <v>0</v>
      </c>
      <c r="BN68" s="8">
        <v>0</v>
      </c>
      <c r="BO68" s="8">
        <v>0</v>
      </c>
      <c r="BP68" s="8">
        <v>6231.7</v>
      </c>
      <c r="BQ68" s="8">
        <v>0</v>
      </c>
      <c r="BR68" s="8">
        <v>0</v>
      </c>
      <c r="BS68" s="8">
        <v>0</v>
      </c>
      <c r="BT68" s="8">
        <v>0</v>
      </c>
      <c r="BU68" s="8">
        <v>0</v>
      </c>
      <c r="BV68" s="8">
        <v>0</v>
      </c>
      <c r="BW68" s="8">
        <v>0</v>
      </c>
      <c r="BX68" s="8">
        <v>0</v>
      </c>
      <c r="BY68" t="s">
        <v>99</v>
      </c>
      <c r="BZ68" t="s">
        <v>123</v>
      </c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  <c r="DD68"/>
    </row>
    <row r="69" spans="1:108" x14ac:dyDescent="0.25">
      <c r="A69" t="s">
        <v>99</v>
      </c>
      <c r="B69" t="s">
        <v>100</v>
      </c>
      <c r="C69" t="s">
        <v>5</v>
      </c>
      <c r="D69" t="s">
        <v>101</v>
      </c>
      <c r="E69" t="s">
        <v>102</v>
      </c>
      <c r="F69" t="s">
        <v>103</v>
      </c>
      <c r="G69" t="s">
        <v>104</v>
      </c>
      <c r="H69" t="s">
        <v>105</v>
      </c>
      <c r="I69" s="6" t="s">
        <v>106</v>
      </c>
      <c r="J69" s="6" t="s">
        <v>107</v>
      </c>
      <c r="K69" s="6" t="s">
        <v>251</v>
      </c>
      <c r="L69" s="6" t="s">
        <v>252</v>
      </c>
      <c r="M69" s="6" t="s">
        <v>253</v>
      </c>
      <c r="N69" s="6" t="s">
        <v>261</v>
      </c>
      <c r="O69" s="6" t="s">
        <v>112</v>
      </c>
      <c r="P69" s="6" t="s">
        <v>262</v>
      </c>
      <c r="Q69" s="6" t="s">
        <v>263</v>
      </c>
      <c r="R69" t="s">
        <v>112</v>
      </c>
      <c r="S69" t="s">
        <v>264</v>
      </c>
      <c r="T69"/>
      <c r="U69"/>
      <c r="V69" t="s">
        <v>116</v>
      </c>
      <c r="W69"/>
      <c r="X69"/>
      <c r="Y69" t="s">
        <v>116</v>
      </c>
      <c r="Z69"/>
      <c r="AA69"/>
      <c r="AB69" t="s">
        <v>116</v>
      </c>
      <c r="AC69"/>
      <c r="AD69"/>
      <c r="AE69" t="s">
        <v>116</v>
      </c>
      <c r="AF69" t="s">
        <v>117</v>
      </c>
      <c r="AG69" t="s">
        <v>118</v>
      </c>
      <c r="AH69" t="s">
        <v>119</v>
      </c>
      <c r="AI69" t="s">
        <v>120</v>
      </c>
      <c r="AJ69" t="s">
        <v>121</v>
      </c>
      <c r="AK69" t="s">
        <v>122</v>
      </c>
      <c r="AL69" t="s">
        <v>179</v>
      </c>
      <c r="AM69" t="s">
        <v>180</v>
      </c>
      <c r="AN69" t="s">
        <v>181</v>
      </c>
      <c r="AO69"/>
      <c r="AP69"/>
      <c r="AQ69" t="s">
        <v>116</v>
      </c>
      <c r="AR69"/>
      <c r="AS69"/>
      <c r="AT69" t="s">
        <v>116</v>
      </c>
      <c r="AU69"/>
      <c r="AV69"/>
      <c r="AW69" t="s">
        <v>116</v>
      </c>
      <c r="AX69"/>
      <c r="AY69"/>
      <c r="AZ69" t="s">
        <v>116</v>
      </c>
      <c r="BA69"/>
      <c r="BB69"/>
      <c r="BC69" t="s">
        <v>116</v>
      </c>
      <c r="BD69"/>
      <c r="BE69"/>
      <c r="BF69" t="s">
        <v>116</v>
      </c>
      <c r="BG69"/>
      <c r="BH69"/>
      <c r="BI69" t="s">
        <v>116</v>
      </c>
      <c r="BJ69"/>
      <c r="BK69"/>
      <c r="BL69" s="8">
        <v>0</v>
      </c>
      <c r="BM69" s="8">
        <v>2211</v>
      </c>
      <c r="BN69" s="8">
        <v>2211</v>
      </c>
      <c r="BO69" s="8">
        <v>0</v>
      </c>
      <c r="BP69" s="8">
        <v>-2211</v>
      </c>
      <c r="BQ69" s="8">
        <v>0</v>
      </c>
      <c r="BR69" s="8">
        <v>0</v>
      </c>
      <c r="BS69" s="8">
        <v>0</v>
      </c>
      <c r="BT69" s="8">
        <v>0</v>
      </c>
      <c r="BU69" s="8">
        <v>0</v>
      </c>
      <c r="BV69" s="8">
        <v>0</v>
      </c>
      <c r="BW69" s="8">
        <v>0</v>
      </c>
      <c r="BX69" s="8">
        <v>0</v>
      </c>
      <c r="BY69" t="s">
        <v>99</v>
      </c>
      <c r="BZ69" t="s">
        <v>123</v>
      </c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  <c r="DB69"/>
      <c r="DC69"/>
      <c r="DD69"/>
    </row>
    <row r="70" spans="1:108" x14ac:dyDescent="0.25">
      <c r="A70" t="s">
        <v>99</v>
      </c>
      <c r="B70" t="s">
        <v>100</v>
      </c>
      <c r="C70" t="s">
        <v>5</v>
      </c>
      <c r="D70" t="s">
        <v>101</v>
      </c>
      <c r="E70" t="s">
        <v>102</v>
      </c>
      <c r="F70" t="s">
        <v>103</v>
      </c>
      <c r="G70" t="s">
        <v>104</v>
      </c>
      <c r="H70" t="s">
        <v>105</v>
      </c>
      <c r="I70" s="6" t="s">
        <v>106</v>
      </c>
      <c r="J70" s="6" t="s">
        <v>107</v>
      </c>
      <c r="K70" s="6" t="s">
        <v>251</v>
      </c>
      <c r="L70" s="6" t="s">
        <v>252</v>
      </c>
      <c r="M70" s="6" t="s">
        <v>253</v>
      </c>
      <c r="N70" s="6" t="s">
        <v>261</v>
      </c>
      <c r="O70" s="6" t="s">
        <v>112</v>
      </c>
      <c r="P70" s="6" t="s">
        <v>262</v>
      </c>
      <c r="Q70" s="6" t="s">
        <v>263</v>
      </c>
      <c r="R70" t="s">
        <v>112</v>
      </c>
      <c r="S70" t="s">
        <v>264</v>
      </c>
      <c r="T70"/>
      <c r="U70"/>
      <c r="V70" t="s">
        <v>116</v>
      </c>
      <c r="W70"/>
      <c r="X70"/>
      <c r="Y70" t="s">
        <v>116</v>
      </c>
      <c r="Z70"/>
      <c r="AA70"/>
      <c r="AB70" t="s">
        <v>116</v>
      </c>
      <c r="AC70"/>
      <c r="AD70"/>
      <c r="AE70" t="s">
        <v>116</v>
      </c>
      <c r="AF70" t="s">
        <v>117</v>
      </c>
      <c r="AG70" t="s">
        <v>118</v>
      </c>
      <c r="AH70" t="s">
        <v>119</v>
      </c>
      <c r="AI70" t="s">
        <v>120</v>
      </c>
      <c r="AJ70" t="s">
        <v>121</v>
      </c>
      <c r="AK70" t="s">
        <v>122</v>
      </c>
      <c r="AL70" t="s">
        <v>238</v>
      </c>
      <c r="AM70" t="s">
        <v>239</v>
      </c>
      <c r="AN70" t="s">
        <v>240</v>
      </c>
      <c r="AO70"/>
      <c r="AP70"/>
      <c r="AQ70" t="s">
        <v>116</v>
      </c>
      <c r="AR70"/>
      <c r="AS70"/>
      <c r="AT70" t="s">
        <v>116</v>
      </c>
      <c r="AU70"/>
      <c r="AV70"/>
      <c r="AW70" t="s">
        <v>116</v>
      </c>
      <c r="AX70"/>
      <c r="AY70"/>
      <c r="AZ70" t="s">
        <v>116</v>
      </c>
      <c r="BA70"/>
      <c r="BB70"/>
      <c r="BC70" t="s">
        <v>116</v>
      </c>
      <c r="BD70"/>
      <c r="BE70"/>
      <c r="BF70" t="s">
        <v>116</v>
      </c>
      <c r="BG70"/>
      <c r="BH70"/>
      <c r="BI70" t="s">
        <v>116</v>
      </c>
      <c r="BJ70"/>
      <c r="BK70"/>
      <c r="BL70" s="8">
        <v>0</v>
      </c>
      <c r="BM70" s="8">
        <v>650</v>
      </c>
      <c r="BN70" s="8">
        <v>650</v>
      </c>
      <c r="BO70" s="8">
        <v>0</v>
      </c>
      <c r="BP70" s="8">
        <v>-650</v>
      </c>
      <c r="BQ70" s="8">
        <v>0</v>
      </c>
      <c r="BR70" s="8">
        <v>0</v>
      </c>
      <c r="BS70" s="8">
        <v>0</v>
      </c>
      <c r="BT70" s="8">
        <v>0</v>
      </c>
      <c r="BU70" s="8">
        <v>0</v>
      </c>
      <c r="BV70" s="8">
        <v>0</v>
      </c>
      <c r="BW70" s="8">
        <v>0</v>
      </c>
      <c r="BX70" s="8">
        <v>0</v>
      </c>
      <c r="BY70" t="s">
        <v>99</v>
      </c>
      <c r="BZ70" t="s">
        <v>123</v>
      </c>
      <c r="CA70"/>
      <c r="CB70"/>
      <c r="CC70"/>
      <c r="CD70"/>
      <c r="CE70"/>
      <c r="CF70"/>
      <c r="CG70"/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CW70"/>
      <c r="CX70"/>
      <c r="CY70"/>
      <c r="CZ70"/>
      <c r="DA70"/>
      <c r="DB70"/>
      <c r="DC70"/>
      <c r="DD70"/>
    </row>
    <row r="71" spans="1:108" x14ac:dyDescent="0.25">
      <c r="A71" t="s">
        <v>99</v>
      </c>
      <c r="B71" t="s">
        <v>100</v>
      </c>
      <c r="C71" t="s">
        <v>5</v>
      </c>
      <c r="D71" t="s">
        <v>101</v>
      </c>
      <c r="E71" t="s">
        <v>102</v>
      </c>
      <c r="F71" t="s">
        <v>103</v>
      </c>
      <c r="G71" t="s">
        <v>104</v>
      </c>
      <c r="H71" t="s">
        <v>105</v>
      </c>
      <c r="I71" s="6" t="s">
        <v>106</v>
      </c>
      <c r="J71" s="6" t="s">
        <v>107</v>
      </c>
      <c r="K71" s="6" t="s">
        <v>251</v>
      </c>
      <c r="L71" s="6" t="s">
        <v>252</v>
      </c>
      <c r="M71" s="6" t="s">
        <v>253</v>
      </c>
      <c r="N71" s="6" t="s">
        <v>261</v>
      </c>
      <c r="O71" s="6" t="s">
        <v>112</v>
      </c>
      <c r="P71" s="6" t="s">
        <v>262</v>
      </c>
      <c r="Q71" s="6" t="s">
        <v>263</v>
      </c>
      <c r="R71" t="s">
        <v>112</v>
      </c>
      <c r="S71" t="s">
        <v>264</v>
      </c>
      <c r="T71"/>
      <c r="U71"/>
      <c r="V71" t="s">
        <v>116</v>
      </c>
      <c r="W71"/>
      <c r="X71"/>
      <c r="Y71" t="s">
        <v>116</v>
      </c>
      <c r="Z71"/>
      <c r="AA71"/>
      <c r="AB71" t="s">
        <v>116</v>
      </c>
      <c r="AC71"/>
      <c r="AD71"/>
      <c r="AE71" t="s">
        <v>116</v>
      </c>
      <c r="AF71" t="s">
        <v>117</v>
      </c>
      <c r="AG71" t="s">
        <v>118</v>
      </c>
      <c r="AH71" t="s">
        <v>119</v>
      </c>
      <c r="AI71" t="s">
        <v>120</v>
      </c>
      <c r="AJ71" t="s">
        <v>121</v>
      </c>
      <c r="AK71" t="s">
        <v>122</v>
      </c>
      <c r="AL71" t="s">
        <v>140</v>
      </c>
      <c r="AM71" t="s">
        <v>141</v>
      </c>
      <c r="AN71" t="s">
        <v>142</v>
      </c>
      <c r="AO71"/>
      <c r="AP71"/>
      <c r="AQ71" t="s">
        <v>116</v>
      </c>
      <c r="AR71"/>
      <c r="AS71"/>
      <c r="AT71" t="s">
        <v>116</v>
      </c>
      <c r="AU71"/>
      <c r="AV71"/>
      <c r="AW71" t="s">
        <v>116</v>
      </c>
      <c r="AX71"/>
      <c r="AY71"/>
      <c r="AZ71" t="s">
        <v>116</v>
      </c>
      <c r="BA71"/>
      <c r="BB71"/>
      <c r="BC71" t="s">
        <v>116</v>
      </c>
      <c r="BD71"/>
      <c r="BE71"/>
      <c r="BF71" t="s">
        <v>116</v>
      </c>
      <c r="BG71"/>
      <c r="BH71"/>
      <c r="BI71" t="s">
        <v>116</v>
      </c>
      <c r="BJ71"/>
      <c r="BK71"/>
      <c r="BL71" s="8">
        <v>0</v>
      </c>
      <c r="BM71" s="8">
        <v>760</v>
      </c>
      <c r="BN71" s="8">
        <v>760</v>
      </c>
      <c r="BO71" s="8">
        <v>0</v>
      </c>
      <c r="BP71" s="8">
        <v>-760</v>
      </c>
      <c r="BQ71" s="8">
        <v>0</v>
      </c>
      <c r="BR71" s="8">
        <v>0</v>
      </c>
      <c r="BS71" s="8">
        <v>0</v>
      </c>
      <c r="BT71" s="8">
        <v>0</v>
      </c>
      <c r="BU71" s="8">
        <v>0</v>
      </c>
      <c r="BV71" s="8">
        <v>0</v>
      </c>
      <c r="BW71" s="8">
        <v>0</v>
      </c>
      <c r="BX71" s="8">
        <v>0</v>
      </c>
      <c r="BY71" t="s">
        <v>99</v>
      </c>
      <c r="BZ71" t="s">
        <v>123</v>
      </c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CX71"/>
      <c r="CY71"/>
      <c r="CZ71"/>
      <c r="DA71"/>
      <c r="DB71"/>
      <c r="DC71"/>
      <c r="DD71"/>
    </row>
    <row r="72" spans="1:108" x14ac:dyDescent="0.25">
      <c r="A72" t="s">
        <v>99</v>
      </c>
      <c r="B72" t="s">
        <v>100</v>
      </c>
      <c r="C72" t="s">
        <v>5</v>
      </c>
      <c r="D72" t="s">
        <v>101</v>
      </c>
      <c r="E72" t="s">
        <v>102</v>
      </c>
      <c r="F72" t="s">
        <v>103</v>
      </c>
      <c r="G72" t="s">
        <v>104</v>
      </c>
      <c r="H72" t="s">
        <v>105</v>
      </c>
      <c r="I72" s="6" t="s">
        <v>106</v>
      </c>
      <c r="J72" s="6" t="s">
        <v>107</v>
      </c>
      <c r="K72" s="6" t="s">
        <v>251</v>
      </c>
      <c r="L72" s="6" t="s">
        <v>252</v>
      </c>
      <c r="M72" s="6" t="s">
        <v>253</v>
      </c>
      <c r="N72" s="6" t="s">
        <v>261</v>
      </c>
      <c r="O72" s="6" t="s">
        <v>112</v>
      </c>
      <c r="P72" s="6" t="s">
        <v>262</v>
      </c>
      <c r="Q72" s="6" t="s">
        <v>263</v>
      </c>
      <c r="R72" t="s">
        <v>112</v>
      </c>
      <c r="S72" t="s">
        <v>264</v>
      </c>
      <c r="T72"/>
      <c r="U72"/>
      <c r="V72" t="s">
        <v>116</v>
      </c>
      <c r="W72"/>
      <c r="X72"/>
      <c r="Y72" t="s">
        <v>116</v>
      </c>
      <c r="Z72"/>
      <c r="AA72"/>
      <c r="AB72" t="s">
        <v>116</v>
      </c>
      <c r="AC72"/>
      <c r="AD72"/>
      <c r="AE72" t="s">
        <v>116</v>
      </c>
      <c r="AF72" t="s">
        <v>117</v>
      </c>
      <c r="AG72" t="s">
        <v>118</v>
      </c>
      <c r="AH72" t="s">
        <v>119</v>
      </c>
      <c r="AI72" t="s">
        <v>120</v>
      </c>
      <c r="AJ72" t="s">
        <v>121</v>
      </c>
      <c r="AK72" t="s">
        <v>122</v>
      </c>
      <c r="AL72" t="s">
        <v>182</v>
      </c>
      <c r="AM72" t="s">
        <v>183</v>
      </c>
      <c r="AN72" t="s">
        <v>184</v>
      </c>
      <c r="AO72"/>
      <c r="AP72"/>
      <c r="AQ72" t="s">
        <v>116</v>
      </c>
      <c r="AR72"/>
      <c r="AS72"/>
      <c r="AT72" t="s">
        <v>116</v>
      </c>
      <c r="AU72"/>
      <c r="AV72"/>
      <c r="AW72" t="s">
        <v>116</v>
      </c>
      <c r="AX72"/>
      <c r="AY72"/>
      <c r="AZ72" t="s">
        <v>116</v>
      </c>
      <c r="BA72"/>
      <c r="BB72"/>
      <c r="BC72" t="s">
        <v>116</v>
      </c>
      <c r="BD72"/>
      <c r="BE72"/>
      <c r="BF72" t="s">
        <v>116</v>
      </c>
      <c r="BG72"/>
      <c r="BH72"/>
      <c r="BI72" t="s">
        <v>116</v>
      </c>
      <c r="BJ72"/>
      <c r="BK72"/>
      <c r="BL72" s="8">
        <v>0</v>
      </c>
      <c r="BM72" s="8">
        <v>2262</v>
      </c>
      <c r="BN72" s="8">
        <v>2262</v>
      </c>
      <c r="BO72" s="8">
        <v>0</v>
      </c>
      <c r="BP72" s="8">
        <v>-2262</v>
      </c>
      <c r="BQ72" s="8">
        <v>0</v>
      </c>
      <c r="BR72" s="8">
        <v>0</v>
      </c>
      <c r="BS72" s="8">
        <v>0</v>
      </c>
      <c r="BT72" s="8">
        <v>0</v>
      </c>
      <c r="BU72" s="8">
        <v>0</v>
      </c>
      <c r="BV72" s="8">
        <v>0</v>
      </c>
      <c r="BW72" s="8">
        <v>0</v>
      </c>
      <c r="BX72" s="8">
        <v>0</v>
      </c>
      <c r="BY72" t="s">
        <v>99</v>
      </c>
      <c r="BZ72" t="s">
        <v>123</v>
      </c>
      <c r="CA72"/>
      <c r="CB72"/>
      <c r="CC72"/>
      <c r="CD72"/>
      <c r="CE72"/>
      <c r="CF72"/>
      <c r="CG72"/>
      <c r="CH72"/>
      <c r="CI72"/>
      <c r="CJ72"/>
      <c r="CK72"/>
      <c r="CL72"/>
      <c r="CM72"/>
      <c r="CN72"/>
      <c r="CO72"/>
      <c r="CP72"/>
      <c r="CQ72"/>
      <c r="CR72"/>
      <c r="CS72"/>
      <c r="CT72"/>
      <c r="CU72"/>
      <c r="CV72"/>
      <c r="CW72"/>
      <c r="CX72"/>
      <c r="CY72"/>
      <c r="CZ72"/>
      <c r="DA72"/>
      <c r="DB72"/>
      <c r="DC72"/>
      <c r="DD72"/>
    </row>
    <row r="73" spans="1:108" x14ac:dyDescent="0.25">
      <c r="A73" t="s">
        <v>99</v>
      </c>
      <c r="B73" t="s">
        <v>100</v>
      </c>
      <c r="C73" t="s">
        <v>5</v>
      </c>
      <c r="D73" t="s">
        <v>101</v>
      </c>
      <c r="E73" t="s">
        <v>102</v>
      </c>
      <c r="F73" t="s">
        <v>103</v>
      </c>
      <c r="G73" t="s">
        <v>104</v>
      </c>
      <c r="H73" t="s">
        <v>105</v>
      </c>
      <c r="I73" s="6" t="s">
        <v>106</v>
      </c>
      <c r="J73" s="6" t="s">
        <v>107</v>
      </c>
      <c r="K73" s="6" t="s">
        <v>251</v>
      </c>
      <c r="L73" s="6" t="s">
        <v>252</v>
      </c>
      <c r="M73" s="6" t="s">
        <v>253</v>
      </c>
      <c r="N73" s="6" t="s">
        <v>261</v>
      </c>
      <c r="O73" s="6" t="s">
        <v>112</v>
      </c>
      <c r="P73" s="6" t="s">
        <v>262</v>
      </c>
      <c r="Q73" s="6" t="s">
        <v>265</v>
      </c>
      <c r="R73" t="s">
        <v>112</v>
      </c>
      <c r="S73" t="s">
        <v>266</v>
      </c>
      <c r="T73"/>
      <c r="U73"/>
      <c r="V73" t="s">
        <v>116</v>
      </c>
      <c r="W73"/>
      <c r="X73"/>
      <c r="Y73" t="s">
        <v>116</v>
      </c>
      <c r="Z73"/>
      <c r="AA73"/>
      <c r="AB73" t="s">
        <v>116</v>
      </c>
      <c r="AC73"/>
      <c r="AD73"/>
      <c r="AE73" t="s">
        <v>116</v>
      </c>
      <c r="AF73" t="s">
        <v>117</v>
      </c>
      <c r="AG73" t="s">
        <v>118</v>
      </c>
      <c r="AH73" t="s">
        <v>119</v>
      </c>
      <c r="AI73" t="s">
        <v>120</v>
      </c>
      <c r="AJ73" t="s">
        <v>121</v>
      </c>
      <c r="AK73" t="s">
        <v>122</v>
      </c>
      <c r="AL73"/>
      <c r="AM73"/>
      <c r="AN73" t="s">
        <v>116</v>
      </c>
      <c r="AO73"/>
      <c r="AP73"/>
      <c r="AQ73" t="s">
        <v>116</v>
      </c>
      <c r="AR73"/>
      <c r="AS73"/>
      <c r="AT73" t="s">
        <v>116</v>
      </c>
      <c r="AU73"/>
      <c r="AV73"/>
      <c r="AW73" t="s">
        <v>116</v>
      </c>
      <c r="AX73"/>
      <c r="AY73"/>
      <c r="AZ73" t="s">
        <v>116</v>
      </c>
      <c r="BA73"/>
      <c r="BB73"/>
      <c r="BC73" t="s">
        <v>116</v>
      </c>
      <c r="BD73"/>
      <c r="BE73"/>
      <c r="BF73" t="s">
        <v>116</v>
      </c>
      <c r="BG73"/>
      <c r="BH73"/>
      <c r="BI73" t="s">
        <v>116</v>
      </c>
      <c r="BJ73"/>
      <c r="BK73"/>
      <c r="BL73" s="8">
        <v>2463.67</v>
      </c>
      <c r="BM73" s="8">
        <v>0</v>
      </c>
      <c r="BN73" s="8">
        <v>0</v>
      </c>
      <c r="BO73" s="8">
        <v>0</v>
      </c>
      <c r="BP73" s="8">
        <v>2463.67</v>
      </c>
      <c r="BQ73" s="8">
        <v>0</v>
      </c>
      <c r="BR73" s="8">
        <v>0</v>
      </c>
      <c r="BS73" s="8">
        <v>0</v>
      </c>
      <c r="BT73" s="8">
        <v>0</v>
      </c>
      <c r="BU73" s="8">
        <v>0</v>
      </c>
      <c r="BV73" s="8">
        <v>0</v>
      </c>
      <c r="BW73" s="8">
        <v>0</v>
      </c>
      <c r="BX73" s="8">
        <v>0</v>
      </c>
      <c r="BY73" t="s">
        <v>99</v>
      </c>
      <c r="BZ73" t="s">
        <v>123</v>
      </c>
      <c r="CA73"/>
      <c r="CB73"/>
      <c r="CC73"/>
      <c r="CD73"/>
      <c r="CE73"/>
      <c r="CF73"/>
      <c r="CG73"/>
      <c r="CH73"/>
      <c r="CI73"/>
      <c r="CJ73"/>
      <c r="CK73"/>
      <c r="CL73"/>
      <c r="CM73"/>
      <c r="CN73"/>
      <c r="CO73"/>
      <c r="CP73"/>
      <c r="CQ73"/>
      <c r="CR73"/>
      <c r="CS73"/>
      <c r="CT73"/>
      <c r="CU73"/>
      <c r="CV73"/>
      <c r="CW73"/>
      <c r="CX73"/>
      <c r="CY73"/>
      <c r="CZ73"/>
      <c r="DA73"/>
      <c r="DB73"/>
      <c r="DC73"/>
      <c r="DD73"/>
    </row>
    <row r="74" spans="1:108" x14ac:dyDescent="0.25">
      <c r="A74" t="s">
        <v>99</v>
      </c>
      <c r="B74" t="s">
        <v>100</v>
      </c>
      <c r="C74" t="s">
        <v>5</v>
      </c>
      <c r="D74" t="s">
        <v>101</v>
      </c>
      <c r="E74" t="s">
        <v>102</v>
      </c>
      <c r="F74" t="s">
        <v>103</v>
      </c>
      <c r="G74" t="s">
        <v>104</v>
      </c>
      <c r="H74" t="s">
        <v>105</v>
      </c>
      <c r="I74" s="6" t="s">
        <v>106</v>
      </c>
      <c r="J74" s="6" t="s">
        <v>107</v>
      </c>
      <c r="K74" s="6" t="s">
        <v>251</v>
      </c>
      <c r="L74" s="6" t="s">
        <v>252</v>
      </c>
      <c r="M74" s="6" t="s">
        <v>253</v>
      </c>
      <c r="N74" s="6" t="s">
        <v>261</v>
      </c>
      <c r="O74" s="6" t="s">
        <v>112</v>
      </c>
      <c r="P74" s="6" t="s">
        <v>262</v>
      </c>
      <c r="Q74" s="6" t="s">
        <v>265</v>
      </c>
      <c r="R74" t="s">
        <v>112</v>
      </c>
      <c r="S74" t="s">
        <v>266</v>
      </c>
      <c r="T74"/>
      <c r="U74"/>
      <c r="V74" t="s">
        <v>116</v>
      </c>
      <c r="W74"/>
      <c r="X74"/>
      <c r="Y74" t="s">
        <v>116</v>
      </c>
      <c r="Z74"/>
      <c r="AA74"/>
      <c r="AB74" t="s">
        <v>116</v>
      </c>
      <c r="AC74"/>
      <c r="AD74"/>
      <c r="AE74" t="s">
        <v>116</v>
      </c>
      <c r="AF74" t="s">
        <v>117</v>
      </c>
      <c r="AG74" t="s">
        <v>118</v>
      </c>
      <c r="AH74" t="s">
        <v>119</v>
      </c>
      <c r="AI74" t="s">
        <v>120</v>
      </c>
      <c r="AJ74" t="s">
        <v>121</v>
      </c>
      <c r="AK74" t="s">
        <v>122</v>
      </c>
      <c r="AL74" t="s">
        <v>164</v>
      </c>
      <c r="AM74" t="s">
        <v>165</v>
      </c>
      <c r="AN74" t="s">
        <v>166</v>
      </c>
      <c r="AO74"/>
      <c r="AP74"/>
      <c r="AQ74" t="s">
        <v>116</v>
      </c>
      <c r="AR74"/>
      <c r="AS74"/>
      <c r="AT74" t="s">
        <v>116</v>
      </c>
      <c r="AU74"/>
      <c r="AV74"/>
      <c r="AW74" t="s">
        <v>116</v>
      </c>
      <c r="AX74"/>
      <c r="AY74"/>
      <c r="AZ74" t="s">
        <v>116</v>
      </c>
      <c r="BA74"/>
      <c r="BB74"/>
      <c r="BC74" t="s">
        <v>116</v>
      </c>
      <c r="BD74"/>
      <c r="BE74"/>
      <c r="BF74" t="s">
        <v>116</v>
      </c>
      <c r="BG74"/>
      <c r="BH74"/>
      <c r="BI74" t="s">
        <v>116</v>
      </c>
      <c r="BJ74"/>
      <c r="BK74"/>
      <c r="BL74" s="8">
        <v>0</v>
      </c>
      <c r="BM74" s="8">
        <v>654.83000000000004</v>
      </c>
      <c r="BN74" s="8">
        <v>654.83000000000004</v>
      </c>
      <c r="BO74" s="8">
        <v>0</v>
      </c>
      <c r="BP74" s="8">
        <v>-654.83000000000004</v>
      </c>
      <c r="BQ74" s="8">
        <v>0</v>
      </c>
      <c r="BR74" s="8">
        <v>0</v>
      </c>
      <c r="BS74" s="8">
        <v>0</v>
      </c>
      <c r="BT74" s="8">
        <v>0</v>
      </c>
      <c r="BU74" s="8">
        <v>0</v>
      </c>
      <c r="BV74" s="8">
        <v>0</v>
      </c>
      <c r="BW74" s="8">
        <v>0</v>
      </c>
      <c r="BX74" s="8">
        <v>0</v>
      </c>
      <c r="BY74" t="s">
        <v>99</v>
      </c>
      <c r="BZ74" t="s">
        <v>123</v>
      </c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</row>
    <row r="75" spans="1:108" x14ac:dyDescent="0.25">
      <c r="A75" t="s">
        <v>99</v>
      </c>
      <c r="B75" t="s">
        <v>100</v>
      </c>
      <c r="C75" t="s">
        <v>5</v>
      </c>
      <c r="D75" t="s">
        <v>101</v>
      </c>
      <c r="E75" t="s">
        <v>102</v>
      </c>
      <c r="F75" t="s">
        <v>103</v>
      </c>
      <c r="G75" t="s">
        <v>104</v>
      </c>
      <c r="H75" t="s">
        <v>105</v>
      </c>
      <c r="I75" s="6" t="s">
        <v>106</v>
      </c>
      <c r="J75" s="6" t="s">
        <v>107</v>
      </c>
      <c r="K75" s="6" t="s">
        <v>251</v>
      </c>
      <c r="L75" s="6" t="s">
        <v>252</v>
      </c>
      <c r="M75" s="6" t="s">
        <v>253</v>
      </c>
      <c r="N75" s="6" t="s">
        <v>261</v>
      </c>
      <c r="O75" s="6" t="s">
        <v>112</v>
      </c>
      <c r="P75" s="6" t="s">
        <v>262</v>
      </c>
      <c r="Q75" s="6" t="s">
        <v>265</v>
      </c>
      <c r="R75" t="s">
        <v>112</v>
      </c>
      <c r="S75" t="s">
        <v>266</v>
      </c>
      <c r="T75"/>
      <c r="U75"/>
      <c r="V75" t="s">
        <v>116</v>
      </c>
      <c r="W75"/>
      <c r="X75"/>
      <c r="Y75" t="s">
        <v>116</v>
      </c>
      <c r="Z75"/>
      <c r="AA75"/>
      <c r="AB75" t="s">
        <v>116</v>
      </c>
      <c r="AC75"/>
      <c r="AD75"/>
      <c r="AE75" t="s">
        <v>116</v>
      </c>
      <c r="AF75" t="s">
        <v>117</v>
      </c>
      <c r="AG75" t="s">
        <v>118</v>
      </c>
      <c r="AH75" t="s">
        <v>119</v>
      </c>
      <c r="AI75" t="s">
        <v>120</v>
      </c>
      <c r="AJ75" t="s">
        <v>121</v>
      </c>
      <c r="AK75" t="s">
        <v>122</v>
      </c>
      <c r="AL75" t="s">
        <v>140</v>
      </c>
      <c r="AM75" t="s">
        <v>141</v>
      </c>
      <c r="AN75" t="s">
        <v>142</v>
      </c>
      <c r="AO75"/>
      <c r="AP75"/>
      <c r="AQ75" t="s">
        <v>116</v>
      </c>
      <c r="AR75"/>
      <c r="AS75"/>
      <c r="AT75" t="s">
        <v>116</v>
      </c>
      <c r="AU75"/>
      <c r="AV75"/>
      <c r="AW75" t="s">
        <v>116</v>
      </c>
      <c r="AX75"/>
      <c r="AY75"/>
      <c r="AZ75" t="s">
        <v>116</v>
      </c>
      <c r="BA75"/>
      <c r="BB75"/>
      <c r="BC75" t="s">
        <v>116</v>
      </c>
      <c r="BD75"/>
      <c r="BE75"/>
      <c r="BF75" t="s">
        <v>116</v>
      </c>
      <c r="BG75"/>
      <c r="BH75"/>
      <c r="BI75" t="s">
        <v>116</v>
      </c>
      <c r="BJ75"/>
      <c r="BK75"/>
      <c r="BL75" s="8">
        <v>0</v>
      </c>
      <c r="BM75" s="8">
        <v>281.8</v>
      </c>
      <c r="BN75" s="8">
        <v>281.8</v>
      </c>
      <c r="BO75" s="8">
        <v>0</v>
      </c>
      <c r="BP75" s="8">
        <v>-281.8</v>
      </c>
      <c r="BQ75" s="8">
        <v>0</v>
      </c>
      <c r="BR75" s="8">
        <v>0</v>
      </c>
      <c r="BS75" s="8">
        <v>0</v>
      </c>
      <c r="BT75" s="8">
        <v>0</v>
      </c>
      <c r="BU75" s="8">
        <v>0</v>
      </c>
      <c r="BV75" s="8">
        <v>0</v>
      </c>
      <c r="BW75" s="8">
        <v>0</v>
      </c>
      <c r="BX75" s="8">
        <v>0</v>
      </c>
      <c r="BY75" t="s">
        <v>99</v>
      </c>
      <c r="BZ75" t="s">
        <v>123</v>
      </c>
      <c r="CA75"/>
      <c r="CB75"/>
      <c r="CC75"/>
      <c r="CD75"/>
      <c r="CE75"/>
      <c r="CF75"/>
      <c r="CG75"/>
      <c r="CH75"/>
      <c r="CI75"/>
      <c r="CJ75"/>
      <c r="CK75"/>
      <c r="CL75"/>
      <c r="CM75"/>
      <c r="CN75"/>
      <c r="CO75"/>
      <c r="CP75"/>
      <c r="CQ75"/>
      <c r="CR75"/>
      <c r="CS75"/>
      <c r="CT75"/>
      <c r="CU75"/>
      <c r="CV75"/>
      <c r="CW75"/>
      <c r="CX75"/>
      <c r="CY75"/>
      <c r="CZ75"/>
      <c r="DA75"/>
      <c r="DB75"/>
      <c r="DC75"/>
      <c r="DD75"/>
    </row>
    <row r="76" spans="1:108" x14ac:dyDescent="0.25">
      <c r="A76" t="s">
        <v>99</v>
      </c>
      <c r="B76" t="s">
        <v>100</v>
      </c>
      <c r="C76" t="s">
        <v>5</v>
      </c>
      <c r="D76" t="s">
        <v>101</v>
      </c>
      <c r="E76" t="s">
        <v>102</v>
      </c>
      <c r="F76" t="s">
        <v>103</v>
      </c>
      <c r="G76" t="s">
        <v>104</v>
      </c>
      <c r="H76" t="s">
        <v>105</v>
      </c>
      <c r="I76" s="6" t="s">
        <v>106</v>
      </c>
      <c r="J76" s="6" t="s">
        <v>107</v>
      </c>
      <c r="K76" s="6" t="s">
        <v>251</v>
      </c>
      <c r="L76" s="6" t="s">
        <v>252</v>
      </c>
      <c r="M76" s="6" t="s">
        <v>253</v>
      </c>
      <c r="N76" s="6" t="s">
        <v>261</v>
      </c>
      <c r="O76" s="6" t="s">
        <v>112</v>
      </c>
      <c r="P76" s="6" t="s">
        <v>262</v>
      </c>
      <c r="Q76" s="6" t="s">
        <v>265</v>
      </c>
      <c r="R76" t="s">
        <v>112</v>
      </c>
      <c r="S76" t="s">
        <v>266</v>
      </c>
      <c r="T76"/>
      <c r="U76"/>
      <c r="V76" t="s">
        <v>116</v>
      </c>
      <c r="W76"/>
      <c r="X76"/>
      <c r="Y76" t="s">
        <v>116</v>
      </c>
      <c r="Z76"/>
      <c r="AA76"/>
      <c r="AB76" t="s">
        <v>116</v>
      </c>
      <c r="AC76"/>
      <c r="AD76"/>
      <c r="AE76" t="s">
        <v>116</v>
      </c>
      <c r="AF76" t="s">
        <v>117</v>
      </c>
      <c r="AG76" t="s">
        <v>118</v>
      </c>
      <c r="AH76" t="s">
        <v>119</v>
      </c>
      <c r="AI76" t="s">
        <v>120</v>
      </c>
      <c r="AJ76" t="s">
        <v>121</v>
      </c>
      <c r="AK76" t="s">
        <v>122</v>
      </c>
      <c r="AL76" t="s">
        <v>182</v>
      </c>
      <c r="AM76" t="s">
        <v>183</v>
      </c>
      <c r="AN76" t="s">
        <v>184</v>
      </c>
      <c r="AO76"/>
      <c r="AP76"/>
      <c r="AQ76" t="s">
        <v>116</v>
      </c>
      <c r="AR76"/>
      <c r="AS76"/>
      <c r="AT76" t="s">
        <v>116</v>
      </c>
      <c r="AU76"/>
      <c r="AV76"/>
      <c r="AW76" t="s">
        <v>116</v>
      </c>
      <c r="AX76"/>
      <c r="AY76"/>
      <c r="AZ76" t="s">
        <v>116</v>
      </c>
      <c r="BA76"/>
      <c r="BB76"/>
      <c r="BC76" t="s">
        <v>116</v>
      </c>
      <c r="BD76"/>
      <c r="BE76"/>
      <c r="BF76" t="s">
        <v>116</v>
      </c>
      <c r="BG76"/>
      <c r="BH76"/>
      <c r="BI76" t="s">
        <v>116</v>
      </c>
      <c r="BJ76"/>
      <c r="BK76"/>
      <c r="BL76" s="8">
        <v>0</v>
      </c>
      <c r="BM76" s="8">
        <v>1300</v>
      </c>
      <c r="BN76" s="8">
        <v>1300</v>
      </c>
      <c r="BO76" s="8">
        <v>0</v>
      </c>
      <c r="BP76" s="8">
        <v>-1300</v>
      </c>
      <c r="BQ76" s="8">
        <v>0</v>
      </c>
      <c r="BR76" s="8">
        <v>0</v>
      </c>
      <c r="BS76" s="8">
        <v>0</v>
      </c>
      <c r="BT76" s="8">
        <v>0</v>
      </c>
      <c r="BU76" s="8">
        <v>0</v>
      </c>
      <c r="BV76" s="8">
        <v>0</v>
      </c>
      <c r="BW76" s="8">
        <v>0</v>
      </c>
      <c r="BX76" s="8">
        <v>0</v>
      </c>
      <c r="BY76" t="s">
        <v>99</v>
      </c>
      <c r="BZ76" t="s">
        <v>123</v>
      </c>
      <c r="CA76"/>
      <c r="CB76"/>
      <c r="CC76"/>
      <c r="CD76"/>
      <c r="CE76"/>
      <c r="CF76"/>
      <c r="CG76"/>
      <c r="CH76"/>
      <c r="CI76"/>
      <c r="CJ76"/>
      <c r="CK76"/>
      <c r="CL76"/>
      <c r="CM76"/>
      <c r="CN76"/>
      <c r="CO76"/>
      <c r="CP76"/>
      <c r="CQ76"/>
      <c r="CR76"/>
      <c r="CS76"/>
      <c r="CT76"/>
      <c r="CU76"/>
      <c r="CV76"/>
      <c r="CW76"/>
      <c r="CX76"/>
      <c r="CY76"/>
      <c r="CZ76"/>
      <c r="DA76"/>
      <c r="DB76"/>
      <c r="DC76"/>
      <c r="DD76"/>
    </row>
    <row r="77" spans="1:108" x14ac:dyDescent="0.25">
      <c r="A77" t="s">
        <v>99</v>
      </c>
      <c r="B77" t="s">
        <v>100</v>
      </c>
      <c r="C77" t="s">
        <v>5</v>
      </c>
      <c r="D77" t="s">
        <v>101</v>
      </c>
      <c r="E77" t="s">
        <v>102</v>
      </c>
      <c r="F77" t="s">
        <v>103</v>
      </c>
      <c r="G77" t="s">
        <v>104</v>
      </c>
      <c r="H77" t="s">
        <v>105</v>
      </c>
      <c r="I77" s="6" t="s">
        <v>106</v>
      </c>
      <c r="J77" s="6" t="s">
        <v>107</v>
      </c>
      <c r="K77" s="6" t="s">
        <v>251</v>
      </c>
      <c r="L77" s="6" t="s">
        <v>252</v>
      </c>
      <c r="M77" s="6" t="s">
        <v>253</v>
      </c>
      <c r="N77" s="6" t="s">
        <v>261</v>
      </c>
      <c r="O77" s="6" t="s">
        <v>112</v>
      </c>
      <c r="P77" s="6" t="s">
        <v>262</v>
      </c>
      <c r="Q77" s="6" t="s">
        <v>265</v>
      </c>
      <c r="R77" t="s">
        <v>112</v>
      </c>
      <c r="S77" t="s">
        <v>266</v>
      </c>
      <c r="T77"/>
      <c r="U77"/>
      <c r="V77" t="s">
        <v>116</v>
      </c>
      <c r="W77"/>
      <c r="X77"/>
      <c r="Y77" t="s">
        <v>116</v>
      </c>
      <c r="Z77"/>
      <c r="AA77"/>
      <c r="AB77" t="s">
        <v>116</v>
      </c>
      <c r="AC77"/>
      <c r="AD77"/>
      <c r="AE77" t="s">
        <v>116</v>
      </c>
      <c r="AF77" t="s">
        <v>117</v>
      </c>
      <c r="AG77" t="s">
        <v>118</v>
      </c>
      <c r="AH77" t="s">
        <v>119</v>
      </c>
      <c r="AI77" t="s">
        <v>120</v>
      </c>
      <c r="AJ77" t="s">
        <v>121</v>
      </c>
      <c r="AK77" t="s">
        <v>122</v>
      </c>
      <c r="AL77" t="s">
        <v>267</v>
      </c>
      <c r="AM77" t="s">
        <v>268</v>
      </c>
      <c r="AN77" t="s">
        <v>269</v>
      </c>
      <c r="AO77"/>
      <c r="AP77"/>
      <c r="AQ77" t="s">
        <v>116</v>
      </c>
      <c r="AR77"/>
      <c r="AS77"/>
      <c r="AT77" t="s">
        <v>116</v>
      </c>
      <c r="AU77"/>
      <c r="AV77"/>
      <c r="AW77" t="s">
        <v>116</v>
      </c>
      <c r="AX77"/>
      <c r="AY77"/>
      <c r="AZ77" t="s">
        <v>116</v>
      </c>
      <c r="BA77"/>
      <c r="BB77"/>
      <c r="BC77" t="s">
        <v>116</v>
      </c>
      <c r="BD77"/>
      <c r="BE77"/>
      <c r="BF77" t="s">
        <v>116</v>
      </c>
      <c r="BG77"/>
      <c r="BH77"/>
      <c r="BI77" t="s">
        <v>116</v>
      </c>
      <c r="BJ77"/>
      <c r="BK77"/>
      <c r="BL77" s="8">
        <v>0</v>
      </c>
      <c r="BM77" s="8">
        <v>94.7</v>
      </c>
      <c r="BN77" s="8">
        <v>94.7</v>
      </c>
      <c r="BO77" s="8">
        <v>0</v>
      </c>
      <c r="BP77" s="8">
        <v>-94.7</v>
      </c>
      <c r="BQ77" s="8">
        <v>0</v>
      </c>
      <c r="BR77" s="8">
        <v>0</v>
      </c>
      <c r="BS77" s="8">
        <v>0</v>
      </c>
      <c r="BT77" s="8">
        <v>0</v>
      </c>
      <c r="BU77" s="8">
        <v>0</v>
      </c>
      <c r="BV77" s="8">
        <v>0</v>
      </c>
      <c r="BW77" s="8">
        <v>0</v>
      </c>
      <c r="BX77" s="8">
        <v>0</v>
      </c>
      <c r="BY77" t="s">
        <v>99</v>
      </c>
      <c r="BZ77" t="s">
        <v>123</v>
      </c>
      <c r="CA77"/>
      <c r="CB77"/>
      <c r="CC77"/>
      <c r="CD77"/>
      <c r="CE77"/>
      <c r="CF77"/>
      <c r="CG77"/>
      <c r="CH77"/>
      <c r="CI77"/>
      <c r="CJ77"/>
      <c r="CK77"/>
      <c r="CL77"/>
      <c r="CM77"/>
      <c r="CN77"/>
      <c r="CO77"/>
      <c r="CP77"/>
      <c r="CQ77"/>
      <c r="CR77"/>
      <c r="CS77"/>
      <c r="CT77"/>
      <c r="CU77"/>
      <c r="CV77"/>
      <c r="CW77"/>
      <c r="CX77"/>
      <c r="CY77"/>
      <c r="CZ77"/>
      <c r="DA77"/>
      <c r="DB77"/>
      <c r="DC77"/>
      <c r="DD77"/>
    </row>
    <row r="78" spans="1:108" x14ac:dyDescent="0.25">
      <c r="A78" t="s">
        <v>99</v>
      </c>
      <c r="B78" t="s">
        <v>100</v>
      </c>
      <c r="C78" t="s">
        <v>5</v>
      </c>
      <c r="D78" t="s">
        <v>101</v>
      </c>
      <c r="E78" t="s">
        <v>102</v>
      </c>
      <c r="F78" t="s">
        <v>103</v>
      </c>
      <c r="G78" t="s">
        <v>104</v>
      </c>
      <c r="H78" t="s">
        <v>105</v>
      </c>
      <c r="I78" s="6" t="s">
        <v>106</v>
      </c>
      <c r="J78" s="6" t="s">
        <v>107</v>
      </c>
      <c r="K78" s="6" t="s">
        <v>251</v>
      </c>
      <c r="L78" s="6" t="s">
        <v>252</v>
      </c>
      <c r="M78" s="6" t="s">
        <v>253</v>
      </c>
      <c r="N78" s="6" t="s">
        <v>261</v>
      </c>
      <c r="O78" s="6" t="s">
        <v>112</v>
      </c>
      <c r="P78" s="6" t="s">
        <v>262</v>
      </c>
      <c r="Q78" s="6" t="s">
        <v>270</v>
      </c>
      <c r="R78" t="s">
        <v>112</v>
      </c>
      <c r="S78" t="s">
        <v>271</v>
      </c>
      <c r="T78"/>
      <c r="U78"/>
      <c r="V78" t="s">
        <v>116</v>
      </c>
      <c r="W78"/>
      <c r="X78"/>
      <c r="Y78" t="s">
        <v>116</v>
      </c>
      <c r="Z78"/>
      <c r="AA78"/>
      <c r="AB78" t="s">
        <v>116</v>
      </c>
      <c r="AC78"/>
      <c r="AD78"/>
      <c r="AE78" t="s">
        <v>116</v>
      </c>
      <c r="AF78" t="s">
        <v>117</v>
      </c>
      <c r="AG78" t="s">
        <v>118</v>
      </c>
      <c r="AH78" t="s">
        <v>119</v>
      </c>
      <c r="AI78" t="s">
        <v>120</v>
      </c>
      <c r="AJ78" t="s">
        <v>121</v>
      </c>
      <c r="AK78" t="s">
        <v>122</v>
      </c>
      <c r="AL78"/>
      <c r="AM78"/>
      <c r="AN78" t="s">
        <v>116</v>
      </c>
      <c r="AO78"/>
      <c r="AP78"/>
      <c r="AQ78" t="s">
        <v>116</v>
      </c>
      <c r="AR78"/>
      <c r="AS78"/>
      <c r="AT78" t="s">
        <v>116</v>
      </c>
      <c r="AU78"/>
      <c r="AV78"/>
      <c r="AW78" t="s">
        <v>116</v>
      </c>
      <c r="AX78"/>
      <c r="AY78"/>
      <c r="AZ78" t="s">
        <v>116</v>
      </c>
      <c r="BA78"/>
      <c r="BB78"/>
      <c r="BC78" t="s">
        <v>116</v>
      </c>
      <c r="BD78"/>
      <c r="BE78"/>
      <c r="BF78" t="s">
        <v>116</v>
      </c>
      <c r="BG78"/>
      <c r="BH78"/>
      <c r="BI78" t="s">
        <v>116</v>
      </c>
      <c r="BJ78"/>
      <c r="BK78"/>
      <c r="BL78" s="8">
        <v>3000</v>
      </c>
      <c r="BM78" s="8">
        <v>0</v>
      </c>
      <c r="BN78" s="8">
        <v>0</v>
      </c>
      <c r="BO78" s="8">
        <v>0</v>
      </c>
      <c r="BP78" s="8">
        <v>3000</v>
      </c>
      <c r="BQ78" s="8">
        <v>0</v>
      </c>
      <c r="BR78" s="8">
        <v>0</v>
      </c>
      <c r="BS78" s="8">
        <v>0</v>
      </c>
      <c r="BT78" s="8">
        <v>0</v>
      </c>
      <c r="BU78" s="8">
        <v>0</v>
      </c>
      <c r="BV78" s="8">
        <v>0</v>
      </c>
      <c r="BW78" s="8">
        <v>0</v>
      </c>
      <c r="BX78" s="8">
        <v>0</v>
      </c>
      <c r="BY78" t="s">
        <v>99</v>
      </c>
      <c r="BZ78" t="s">
        <v>123</v>
      </c>
      <c r="CA78"/>
      <c r="CB78"/>
      <c r="CC78"/>
      <c r="CD78"/>
      <c r="CE78"/>
      <c r="CF78"/>
      <c r="CG78"/>
      <c r="CH78"/>
      <c r="CI78"/>
      <c r="CJ78"/>
      <c r="CK78"/>
      <c r="CL78"/>
      <c r="CM78"/>
      <c r="CN78"/>
      <c r="CO78"/>
      <c r="CP78"/>
      <c r="CQ78"/>
      <c r="CR78"/>
      <c r="CS78"/>
      <c r="CT78"/>
      <c r="CU78"/>
      <c r="CV78"/>
      <c r="CW78"/>
      <c r="CX78"/>
      <c r="CY78"/>
      <c r="CZ78"/>
      <c r="DA78"/>
      <c r="DB78"/>
      <c r="DC78"/>
      <c r="DD78"/>
    </row>
    <row r="79" spans="1:108" x14ac:dyDescent="0.25">
      <c r="A79" t="s">
        <v>99</v>
      </c>
      <c r="B79" t="s">
        <v>100</v>
      </c>
      <c r="C79" t="s">
        <v>5</v>
      </c>
      <c r="D79" t="s">
        <v>101</v>
      </c>
      <c r="E79" t="s">
        <v>102</v>
      </c>
      <c r="F79" t="s">
        <v>103</v>
      </c>
      <c r="G79" t="s">
        <v>104</v>
      </c>
      <c r="H79" t="s">
        <v>105</v>
      </c>
      <c r="I79" s="6" t="s">
        <v>106</v>
      </c>
      <c r="J79" s="6" t="s">
        <v>107</v>
      </c>
      <c r="K79" s="6" t="s">
        <v>251</v>
      </c>
      <c r="L79" s="6" t="s">
        <v>252</v>
      </c>
      <c r="M79" s="6" t="s">
        <v>253</v>
      </c>
      <c r="N79" s="6" t="s">
        <v>261</v>
      </c>
      <c r="O79" s="6" t="s">
        <v>112</v>
      </c>
      <c r="P79" s="6" t="s">
        <v>262</v>
      </c>
      <c r="Q79" s="6" t="s">
        <v>270</v>
      </c>
      <c r="R79" t="s">
        <v>112</v>
      </c>
      <c r="S79" t="s">
        <v>271</v>
      </c>
      <c r="T79"/>
      <c r="U79"/>
      <c r="V79" t="s">
        <v>116</v>
      </c>
      <c r="W79"/>
      <c r="X79"/>
      <c r="Y79" t="s">
        <v>116</v>
      </c>
      <c r="Z79"/>
      <c r="AA79"/>
      <c r="AB79" t="s">
        <v>116</v>
      </c>
      <c r="AC79"/>
      <c r="AD79"/>
      <c r="AE79" t="s">
        <v>116</v>
      </c>
      <c r="AF79" t="s">
        <v>117</v>
      </c>
      <c r="AG79" t="s">
        <v>118</v>
      </c>
      <c r="AH79" t="s">
        <v>119</v>
      </c>
      <c r="AI79" t="s">
        <v>120</v>
      </c>
      <c r="AJ79" t="s">
        <v>121</v>
      </c>
      <c r="AK79" t="s">
        <v>122</v>
      </c>
      <c r="AL79" t="s">
        <v>174</v>
      </c>
      <c r="AM79" t="s">
        <v>175</v>
      </c>
      <c r="AN79" t="s">
        <v>176</v>
      </c>
      <c r="AO79"/>
      <c r="AP79"/>
      <c r="AQ79" t="s">
        <v>116</v>
      </c>
      <c r="AR79"/>
      <c r="AS79"/>
      <c r="AT79" t="s">
        <v>116</v>
      </c>
      <c r="AU79"/>
      <c r="AV79"/>
      <c r="AW79" t="s">
        <v>116</v>
      </c>
      <c r="AX79"/>
      <c r="AY79"/>
      <c r="AZ79" t="s">
        <v>116</v>
      </c>
      <c r="BA79"/>
      <c r="BB79"/>
      <c r="BC79" t="s">
        <v>116</v>
      </c>
      <c r="BD79"/>
      <c r="BE79"/>
      <c r="BF79" t="s">
        <v>116</v>
      </c>
      <c r="BG79"/>
      <c r="BH79"/>
      <c r="BI79" t="s">
        <v>116</v>
      </c>
      <c r="BJ79"/>
      <c r="BK79"/>
      <c r="BL79" s="8">
        <v>0</v>
      </c>
      <c r="BM79" s="8">
        <v>575.79</v>
      </c>
      <c r="BN79" s="8">
        <v>575.79</v>
      </c>
      <c r="BO79" s="8">
        <v>0</v>
      </c>
      <c r="BP79" s="8">
        <v>-575.79</v>
      </c>
      <c r="BQ79" s="8">
        <v>0</v>
      </c>
      <c r="BR79" s="8">
        <v>0</v>
      </c>
      <c r="BS79" s="8">
        <v>0</v>
      </c>
      <c r="BT79" s="8">
        <v>0</v>
      </c>
      <c r="BU79" s="8">
        <v>0</v>
      </c>
      <c r="BV79" s="8">
        <v>0</v>
      </c>
      <c r="BW79" s="8">
        <v>0</v>
      </c>
      <c r="BX79" s="8">
        <v>0</v>
      </c>
      <c r="BY79" t="s">
        <v>99</v>
      </c>
      <c r="BZ79" t="s">
        <v>123</v>
      </c>
      <c r="CA79"/>
      <c r="CB79"/>
      <c r="CC79"/>
      <c r="CD79"/>
      <c r="CE79"/>
      <c r="CF79"/>
      <c r="CG79"/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  <c r="CV79"/>
      <c r="CW79"/>
      <c r="CX79"/>
      <c r="CY79"/>
      <c r="CZ79"/>
      <c r="DA79"/>
      <c r="DB79"/>
      <c r="DC79"/>
      <c r="DD79"/>
    </row>
    <row r="80" spans="1:108" x14ac:dyDescent="0.25">
      <c r="A80" t="s">
        <v>99</v>
      </c>
      <c r="B80" t="s">
        <v>100</v>
      </c>
      <c r="C80" t="s">
        <v>5</v>
      </c>
      <c r="D80" t="s">
        <v>101</v>
      </c>
      <c r="E80" t="s">
        <v>102</v>
      </c>
      <c r="F80" t="s">
        <v>103</v>
      </c>
      <c r="G80" t="s">
        <v>104</v>
      </c>
      <c r="H80" t="s">
        <v>105</v>
      </c>
      <c r="I80" s="6" t="s">
        <v>106</v>
      </c>
      <c r="J80" s="6" t="s">
        <v>107</v>
      </c>
      <c r="K80" s="6" t="s">
        <v>251</v>
      </c>
      <c r="L80" s="6" t="s">
        <v>252</v>
      </c>
      <c r="M80" s="6" t="s">
        <v>253</v>
      </c>
      <c r="N80" s="6" t="s">
        <v>261</v>
      </c>
      <c r="O80" s="6" t="s">
        <v>112</v>
      </c>
      <c r="P80" s="6" t="s">
        <v>262</v>
      </c>
      <c r="Q80" s="6" t="s">
        <v>270</v>
      </c>
      <c r="R80" t="s">
        <v>112</v>
      </c>
      <c r="S80" t="s">
        <v>271</v>
      </c>
      <c r="T80"/>
      <c r="U80"/>
      <c r="V80" t="s">
        <v>116</v>
      </c>
      <c r="W80"/>
      <c r="X80"/>
      <c r="Y80" t="s">
        <v>116</v>
      </c>
      <c r="Z80"/>
      <c r="AA80"/>
      <c r="AB80" t="s">
        <v>116</v>
      </c>
      <c r="AC80"/>
      <c r="AD80"/>
      <c r="AE80" t="s">
        <v>116</v>
      </c>
      <c r="AF80" t="s">
        <v>117</v>
      </c>
      <c r="AG80" t="s">
        <v>118</v>
      </c>
      <c r="AH80" t="s">
        <v>119</v>
      </c>
      <c r="AI80" t="s">
        <v>120</v>
      </c>
      <c r="AJ80" t="s">
        <v>121</v>
      </c>
      <c r="AK80" t="s">
        <v>122</v>
      </c>
      <c r="AL80" t="s">
        <v>140</v>
      </c>
      <c r="AM80" t="s">
        <v>141</v>
      </c>
      <c r="AN80" t="s">
        <v>142</v>
      </c>
      <c r="AO80"/>
      <c r="AP80"/>
      <c r="AQ80" t="s">
        <v>116</v>
      </c>
      <c r="AR80"/>
      <c r="AS80"/>
      <c r="AT80" t="s">
        <v>116</v>
      </c>
      <c r="AU80"/>
      <c r="AV80"/>
      <c r="AW80" t="s">
        <v>116</v>
      </c>
      <c r="AX80"/>
      <c r="AY80"/>
      <c r="AZ80" t="s">
        <v>116</v>
      </c>
      <c r="BA80"/>
      <c r="BB80"/>
      <c r="BC80" t="s">
        <v>116</v>
      </c>
      <c r="BD80"/>
      <c r="BE80"/>
      <c r="BF80" t="s">
        <v>116</v>
      </c>
      <c r="BG80"/>
      <c r="BH80"/>
      <c r="BI80" t="s">
        <v>116</v>
      </c>
      <c r="BJ80"/>
      <c r="BK80"/>
      <c r="BL80" s="8">
        <v>0</v>
      </c>
      <c r="BM80" s="8">
        <v>60</v>
      </c>
      <c r="BN80" s="8">
        <v>60</v>
      </c>
      <c r="BO80" s="8">
        <v>0</v>
      </c>
      <c r="BP80" s="8">
        <v>-60</v>
      </c>
      <c r="BQ80" s="8">
        <v>0</v>
      </c>
      <c r="BR80" s="8">
        <v>0</v>
      </c>
      <c r="BS80" s="8">
        <v>0</v>
      </c>
      <c r="BT80" s="8">
        <v>0</v>
      </c>
      <c r="BU80" s="8">
        <v>0</v>
      </c>
      <c r="BV80" s="8">
        <v>0</v>
      </c>
      <c r="BW80" s="8">
        <v>0</v>
      </c>
      <c r="BX80" s="8">
        <v>0</v>
      </c>
      <c r="BY80" t="s">
        <v>99</v>
      </c>
      <c r="BZ80" t="s">
        <v>123</v>
      </c>
      <c r="CA80"/>
      <c r="CB80"/>
      <c r="CC80"/>
      <c r="CD80"/>
      <c r="CE80"/>
      <c r="CF80"/>
      <c r="CG80"/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  <c r="CV80"/>
      <c r="CW80"/>
      <c r="CX80"/>
      <c r="CY80"/>
      <c r="CZ80"/>
      <c r="DA80"/>
      <c r="DB80"/>
      <c r="DC80"/>
      <c r="DD80"/>
    </row>
    <row r="81" spans="1:108" x14ac:dyDescent="0.25">
      <c r="A81" t="s">
        <v>99</v>
      </c>
      <c r="B81" t="s">
        <v>100</v>
      </c>
      <c r="C81" t="s">
        <v>5</v>
      </c>
      <c r="D81" t="s">
        <v>101</v>
      </c>
      <c r="E81" t="s">
        <v>102</v>
      </c>
      <c r="F81" t="s">
        <v>103</v>
      </c>
      <c r="G81" t="s">
        <v>104</v>
      </c>
      <c r="H81" t="s">
        <v>105</v>
      </c>
      <c r="I81" s="6" t="s">
        <v>106</v>
      </c>
      <c r="J81" s="6" t="s">
        <v>107</v>
      </c>
      <c r="K81" s="6" t="s">
        <v>251</v>
      </c>
      <c r="L81" s="6" t="s">
        <v>252</v>
      </c>
      <c r="M81" s="6" t="s">
        <v>253</v>
      </c>
      <c r="N81" s="6" t="s">
        <v>261</v>
      </c>
      <c r="O81" s="6" t="s">
        <v>112</v>
      </c>
      <c r="P81" s="6" t="s">
        <v>262</v>
      </c>
      <c r="Q81" s="6" t="s">
        <v>270</v>
      </c>
      <c r="R81" t="s">
        <v>112</v>
      </c>
      <c r="S81" t="s">
        <v>271</v>
      </c>
      <c r="T81"/>
      <c r="U81"/>
      <c r="V81" t="s">
        <v>116</v>
      </c>
      <c r="W81"/>
      <c r="X81"/>
      <c r="Y81" t="s">
        <v>116</v>
      </c>
      <c r="Z81"/>
      <c r="AA81"/>
      <c r="AB81" t="s">
        <v>116</v>
      </c>
      <c r="AC81"/>
      <c r="AD81"/>
      <c r="AE81" t="s">
        <v>116</v>
      </c>
      <c r="AF81" t="s">
        <v>117</v>
      </c>
      <c r="AG81" t="s">
        <v>118</v>
      </c>
      <c r="AH81" t="s">
        <v>119</v>
      </c>
      <c r="AI81" t="s">
        <v>120</v>
      </c>
      <c r="AJ81" t="s">
        <v>121</v>
      </c>
      <c r="AK81" t="s">
        <v>122</v>
      </c>
      <c r="AL81" t="s">
        <v>272</v>
      </c>
      <c r="AM81" t="s">
        <v>273</v>
      </c>
      <c r="AN81" t="s">
        <v>274</v>
      </c>
      <c r="AO81"/>
      <c r="AP81"/>
      <c r="AQ81" t="s">
        <v>116</v>
      </c>
      <c r="AR81"/>
      <c r="AS81"/>
      <c r="AT81" t="s">
        <v>116</v>
      </c>
      <c r="AU81"/>
      <c r="AV81"/>
      <c r="AW81" t="s">
        <v>116</v>
      </c>
      <c r="AX81"/>
      <c r="AY81"/>
      <c r="AZ81" t="s">
        <v>116</v>
      </c>
      <c r="BA81"/>
      <c r="BB81"/>
      <c r="BC81" t="s">
        <v>116</v>
      </c>
      <c r="BD81"/>
      <c r="BE81"/>
      <c r="BF81" t="s">
        <v>116</v>
      </c>
      <c r="BG81"/>
      <c r="BH81"/>
      <c r="BI81" t="s">
        <v>116</v>
      </c>
      <c r="BJ81"/>
      <c r="BK81"/>
      <c r="BL81" s="8">
        <v>0</v>
      </c>
      <c r="BM81" s="8">
        <v>914.96</v>
      </c>
      <c r="BN81" s="8">
        <v>914.96</v>
      </c>
      <c r="BO81" s="8">
        <v>0</v>
      </c>
      <c r="BP81" s="8">
        <v>-914.96</v>
      </c>
      <c r="BQ81" s="8">
        <v>0</v>
      </c>
      <c r="BR81" s="8">
        <v>0</v>
      </c>
      <c r="BS81" s="8">
        <v>0</v>
      </c>
      <c r="BT81" s="8">
        <v>0</v>
      </c>
      <c r="BU81" s="8">
        <v>0</v>
      </c>
      <c r="BV81" s="8">
        <v>0</v>
      </c>
      <c r="BW81" s="8">
        <v>0</v>
      </c>
      <c r="BX81" s="8">
        <v>0</v>
      </c>
      <c r="BY81" t="s">
        <v>99</v>
      </c>
      <c r="BZ81" t="s">
        <v>123</v>
      </c>
      <c r="CA81"/>
      <c r="CB81"/>
      <c r="CC81"/>
      <c r="CD81"/>
      <c r="CE81"/>
      <c r="CF81"/>
      <c r="CG81"/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  <c r="CV81"/>
      <c r="CW81"/>
      <c r="CX81"/>
      <c r="CY81"/>
      <c r="CZ81"/>
      <c r="DA81"/>
      <c r="DB81"/>
      <c r="DC81"/>
      <c r="DD81"/>
    </row>
    <row r="82" spans="1:108" x14ac:dyDescent="0.25">
      <c r="A82" t="s">
        <v>99</v>
      </c>
      <c r="B82" t="s">
        <v>100</v>
      </c>
      <c r="C82" t="s">
        <v>5</v>
      </c>
      <c r="D82" t="s">
        <v>101</v>
      </c>
      <c r="E82" t="s">
        <v>102</v>
      </c>
      <c r="F82" t="s">
        <v>103</v>
      </c>
      <c r="G82" t="s">
        <v>104</v>
      </c>
      <c r="H82" t="s">
        <v>105</v>
      </c>
      <c r="I82" s="6" t="s">
        <v>106</v>
      </c>
      <c r="J82" s="6" t="s">
        <v>107</v>
      </c>
      <c r="K82" s="6" t="s">
        <v>251</v>
      </c>
      <c r="L82" s="6" t="s">
        <v>252</v>
      </c>
      <c r="M82" s="6" t="s">
        <v>253</v>
      </c>
      <c r="N82" s="6" t="s">
        <v>261</v>
      </c>
      <c r="O82" s="6" t="s">
        <v>112</v>
      </c>
      <c r="P82" s="6" t="s">
        <v>262</v>
      </c>
      <c r="Q82" s="6" t="s">
        <v>275</v>
      </c>
      <c r="R82" t="s">
        <v>112</v>
      </c>
      <c r="S82" t="s">
        <v>276</v>
      </c>
      <c r="T82"/>
      <c r="U82"/>
      <c r="V82" t="s">
        <v>116</v>
      </c>
      <c r="W82"/>
      <c r="X82"/>
      <c r="Y82" t="s">
        <v>116</v>
      </c>
      <c r="Z82"/>
      <c r="AA82"/>
      <c r="AB82" t="s">
        <v>116</v>
      </c>
      <c r="AC82"/>
      <c r="AD82"/>
      <c r="AE82" t="s">
        <v>116</v>
      </c>
      <c r="AF82" t="s">
        <v>117</v>
      </c>
      <c r="AG82" t="s">
        <v>118</v>
      </c>
      <c r="AH82" t="s">
        <v>119</v>
      </c>
      <c r="AI82" t="s">
        <v>120</v>
      </c>
      <c r="AJ82" t="s">
        <v>121</v>
      </c>
      <c r="AK82" t="s">
        <v>122</v>
      </c>
      <c r="AL82"/>
      <c r="AM82"/>
      <c r="AN82" t="s">
        <v>116</v>
      </c>
      <c r="AO82"/>
      <c r="AP82"/>
      <c r="AQ82" t="s">
        <v>116</v>
      </c>
      <c r="AR82"/>
      <c r="AS82"/>
      <c r="AT82" t="s">
        <v>116</v>
      </c>
      <c r="AU82"/>
      <c r="AV82"/>
      <c r="AW82" t="s">
        <v>116</v>
      </c>
      <c r="AX82"/>
      <c r="AY82"/>
      <c r="AZ82" t="s">
        <v>116</v>
      </c>
      <c r="BA82"/>
      <c r="BB82"/>
      <c r="BC82" t="s">
        <v>116</v>
      </c>
      <c r="BD82"/>
      <c r="BE82"/>
      <c r="BF82" t="s">
        <v>116</v>
      </c>
      <c r="BG82"/>
      <c r="BH82"/>
      <c r="BI82" t="s">
        <v>116</v>
      </c>
      <c r="BJ82"/>
      <c r="BK82"/>
      <c r="BL82" s="8">
        <v>8838.0499999999993</v>
      </c>
      <c r="BM82" s="8">
        <v>0</v>
      </c>
      <c r="BN82" s="8">
        <v>0</v>
      </c>
      <c r="BO82" s="8">
        <v>0</v>
      </c>
      <c r="BP82" s="8">
        <v>8838.0499999999993</v>
      </c>
      <c r="BQ82" s="8">
        <v>0</v>
      </c>
      <c r="BR82" s="8">
        <v>0</v>
      </c>
      <c r="BS82" s="8">
        <v>0</v>
      </c>
      <c r="BT82" s="8">
        <v>0</v>
      </c>
      <c r="BU82" s="8">
        <v>0</v>
      </c>
      <c r="BV82" s="8">
        <v>0</v>
      </c>
      <c r="BW82" s="8">
        <v>0</v>
      </c>
      <c r="BX82" s="8">
        <v>0</v>
      </c>
      <c r="BY82" t="s">
        <v>99</v>
      </c>
      <c r="BZ82" t="s">
        <v>123</v>
      </c>
      <c r="CA82"/>
      <c r="CB82"/>
      <c r="CC82"/>
      <c r="CD82"/>
      <c r="CE82"/>
      <c r="CF82"/>
      <c r="CG82"/>
      <c r="CH82"/>
      <c r="CI82"/>
      <c r="CJ82"/>
      <c r="CK82"/>
      <c r="CL82"/>
      <c r="CM82"/>
      <c r="CN82"/>
      <c r="CO82"/>
      <c r="CP82"/>
      <c r="CQ82"/>
      <c r="CR82"/>
      <c r="CS82"/>
      <c r="CT82"/>
      <c r="CU82"/>
      <c r="CV82"/>
      <c r="CW82"/>
      <c r="CX82"/>
      <c r="CY82"/>
      <c r="CZ82"/>
      <c r="DA82"/>
      <c r="DB82"/>
      <c r="DC82"/>
      <c r="DD82"/>
    </row>
    <row r="83" spans="1:108" x14ac:dyDescent="0.25">
      <c r="A83" t="s">
        <v>99</v>
      </c>
      <c r="B83" t="s">
        <v>100</v>
      </c>
      <c r="C83" t="s">
        <v>5</v>
      </c>
      <c r="D83" t="s">
        <v>101</v>
      </c>
      <c r="E83" t="s">
        <v>102</v>
      </c>
      <c r="F83" t="s">
        <v>103</v>
      </c>
      <c r="G83" t="s">
        <v>104</v>
      </c>
      <c r="H83" t="s">
        <v>105</v>
      </c>
      <c r="I83" s="6" t="s">
        <v>106</v>
      </c>
      <c r="J83" s="6" t="s">
        <v>107</v>
      </c>
      <c r="K83" s="6" t="s">
        <v>251</v>
      </c>
      <c r="L83" s="6" t="s">
        <v>252</v>
      </c>
      <c r="M83" s="6" t="s">
        <v>253</v>
      </c>
      <c r="N83" s="6" t="s">
        <v>261</v>
      </c>
      <c r="O83" s="6" t="s">
        <v>112</v>
      </c>
      <c r="P83" s="6" t="s">
        <v>262</v>
      </c>
      <c r="Q83" s="6" t="s">
        <v>275</v>
      </c>
      <c r="R83" t="s">
        <v>112</v>
      </c>
      <c r="S83" t="s">
        <v>276</v>
      </c>
      <c r="T83"/>
      <c r="U83"/>
      <c r="V83" t="s">
        <v>116</v>
      </c>
      <c r="W83"/>
      <c r="X83"/>
      <c r="Y83" t="s">
        <v>116</v>
      </c>
      <c r="Z83"/>
      <c r="AA83"/>
      <c r="AB83" t="s">
        <v>116</v>
      </c>
      <c r="AC83"/>
      <c r="AD83"/>
      <c r="AE83" t="s">
        <v>116</v>
      </c>
      <c r="AF83" t="s">
        <v>117</v>
      </c>
      <c r="AG83" t="s">
        <v>118</v>
      </c>
      <c r="AH83" t="s">
        <v>119</v>
      </c>
      <c r="AI83" t="s">
        <v>120</v>
      </c>
      <c r="AJ83" t="s">
        <v>121</v>
      </c>
      <c r="AK83" t="s">
        <v>122</v>
      </c>
      <c r="AL83" t="s">
        <v>272</v>
      </c>
      <c r="AM83" t="s">
        <v>273</v>
      </c>
      <c r="AN83" t="s">
        <v>274</v>
      </c>
      <c r="AO83"/>
      <c r="AP83"/>
      <c r="AQ83" t="s">
        <v>116</v>
      </c>
      <c r="AR83"/>
      <c r="AS83"/>
      <c r="AT83" t="s">
        <v>116</v>
      </c>
      <c r="AU83"/>
      <c r="AV83"/>
      <c r="AW83" t="s">
        <v>116</v>
      </c>
      <c r="AX83"/>
      <c r="AY83"/>
      <c r="AZ83" t="s">
        <v>116</v>
      </c>
      <c r="BA83"/>
      <c r="BB83"/>
      <c r="BC83" t="s">
        <v>116</v>
      </c>
      <c r="BD83"/>
      <c r="BE83"/>
      <c r="BF83" t="s">
        <v>116</v>
      </c>
      <c r="BG83"/>
      <c r="BH83"/>
      <c r="BI83" t="s">
        <v>116</v>
      </c>
      <c r="BJ83"/>
      <c r="BK83"/>
      <c r="BL83" s="8">
        <v>0</v>
      </c>
      <c r="BM83" s="8">
        <v>5610.89</v>
      </c>
      <c r="BN83" s="8">
        <v>5610.89</v>
      </c>
      <c r="BO83" s="8">
        <v>0</v>
      </c>
      <c r="BP83" s="8">
        <v>-5610.89</v>
      </c>
      <c r="BQ83" s="8">
        <v>0</v>
      </c>
      <c r="BR83" s="8">
        <v>0</v>
      </c>
      <c r="BS83" s="8">
        <v>0</v>
      </c>
      <c r="BT83" s="8">
        <v>0</v>
      </c>
      <c r="BU83" s="8">
        <v>0</v>
      </c>
      <c r="BV83" s="8">
        <v>0</v>
      </c>
      <c r="BW83" s="8">
        <v>0</v>
      </c>
      <c r="BX83" s="8">
        <v>0</v>
      </c>
      <c r="BY83" t="s">
        <v>99</v>
      </c>
      <c r="BZ83" t="s">
        <v>123</v>
      </c>
      <c r="CA83"/>
      <c r="CB83"/>
      <c r="CC83"/>
      <c r="CD83"/>
      <c r="CE83"/>
      <c r="CF83"/>
      <c r="CG83"/>
      <c r="CH83"/>
      <c r="CI83"/>
      <c r="CJ83"/>
      <c r="CK83"/>
      <c r="CL83"/>
      <c r="CM83"/>
      <c r="CN83"/>
      <c r="CO83"/>
      <c r="CP83"/>
      <c r="CQ83"/>
      <c r="CR83"/>
      <c r="CS83"/>
      <c r="CT83"/>
      <c r="CU83"/>
      <c r="CV83"/>
      <c r="CW83"/>
      <c r="CX83"/>
      <c r="CY83"/>
      <c r="CZ83"/>
      <c r="DA83"/>
      <c r="DB83"/>
      <c r="DC83"/>
      <c r="DD83"/>
    </row>
    <row r="84" spans="1:108" x14ac:dyDescent="0.25">
      <c r="A84" t="s">
        <v>99</v>
      </c>
      <c r="B84" t="s">
        <v>100</v>
      </c>
      <c r="C84" t="s">
        <v>5</v>
      </c>
      <c r="D84" t="s">
        <v>101</v>
      </c>
      <c r="E84" t="s">
        <v>102</v>
      </c>
      <c r="F84" t="s">
        <v>103</v>
      </c>
      <c r="G84" t="s">
        <v>104</v>
      </c>
      <c r="H84" t="s">
        <v>105</v>
      </c>
      <c r="I84" s="6" t="s">
        <v>106</v>
      </c>
      <c r="J84" s="6" t="s">
        <v>107</v>
      </c>
      <c r="K84" s="6" t="s">
        <v>277</v>
      </c>
      <c r="L84" s="6" t="s">
        <v>278</v>
      </c>
      <c r="M84" s="6" t="s">
        <v>279</v>
      </c>
      <c r="N84" s="6" t="s">
        <v>280</v>
      </c>
      <c r="O84" s="6" t="s">
        <v>112</v>
      </c>
      <c r="P84" s="6" t="s">
        <v>281</v>
      </c>
      <c r="Q84" s="6" t="s">
        <v>282</v>
      </c>
      <c r="R84" t="s">
        <v>112</v>
      </c>
      <c r="S84" t="s">
        <v>283</v>
      </c>
      <c r="T84"/>
      <c r="U84"/>
      <c r="V84" t="s">
        <v>116</v>
      </c>
      <c r="W84"/>
      <c r="X84"/>
      <c r="Y84" t="s">
        <v>116</v>
      </c>
      <c r="Z84"/>
      <c r="AA84"/>
      <c r="AB84" t="s">
        <v>116</v>
      </c>
      <c r="AC84"/>
      <c r="AD84"/>
      <c r="AE84" t="s">
        <v>116</v>
      </c>
      <c r="AF84" t="s">
        <v>117</v>
      </c>
      <c r="AG84" t="s">
        <v>118</v>
      </c>
      <c r="AH84" t="s">
        <v>119</v>
      </c>
      <c r="AI84" t="s">
        <v>120</v>
      </c>
      <c r="AJ84" t="s">
        <v>121</v>
      </c>
      <c r="AK84" t="s">
        <v>122</v>
      </c>
      <c r="AL84"/>
      <c r="AM84"/>
      <c r="AN84" t="s">
        <v>116</v>
      </c>
      <c r="AO84"/>
      <c r="AP84"/>
      <c r="AQ84" t="s">
        <v>116</v>
      </c>
      <c r="AR84"/>
      <c r="AS84"/>
      <c r="AT84" t="s">
        <v>116</v>
      </c>
      <c r="AU84"/>
      <c r="AV84"/>
      <c r="AW84" t="s">
        <v>116</v>
      </c>
      <c r="AX84"/>
      <c r="AY84"/>
      <c r="AZ84" t="s">
        <v>116</v>
      </c>
      <c r="BA84"/>
      <c r="BB84"/>
      <c r="BC84" t="s">
        <v>116</v>
      </c>
      <c r="BD84"/>
      <c r="BE84"/>
      <c r="BF84" t="s">
        <v>116</v>
      </c>
      <c r="BG84"/>
      <c r="BH84"/>
      <c r="BI84" t="s">
        <v>116</v>
      </c>
      <c r="BJ84"/>
      <c r="BK84"/>
      <c r="BL84" s="8">
        <v>1000</v>
      </c>
      <c r="BM84" s="8">
        <v>0</v>
      </c>
      <c r="BN84" s="8">
        <v>0</v>
      </c>
      <c r="BO84" s="8">
        <v>0</v>
      </c>
      <c r="BP84" s="8">
        <v>1000</v>
      </c>
      <c r="BQ84" s="8">
        <v>0</v>
      </c>
      <c r="BR84" s="8">
        <v>0</v>
      </c>
      <c r="BS84" s="8">
        <v>0</v>
      </c>
      <c r="BT84" s="8">
        <v>0</v>
      </c>
      <c r="BU84" s="8">
        <v>0</v>
      </c>
      <c r="BV84" s="8">
        <v>0</v>
      </c>
      <c r="BW84" s="8">
        <v>0</v>
      </c>
      <c r="BX84" s="8">
        <v>0</v>
      </c>
      <c r="BY84" t="s">
        <v>99</v>
      </c>
      <c r="BZ84" t="s">
        <v>123</v>
      </c>
      <c r="CA84"/>
      <c r="CB84"/>
      <c r="CC84"/>
      <c r="CD84"/>
      <c r="CE84"/>
      <c r="CF84"/>
      <c r="CG84"/>
      <c r="CH84"/>
      <c r="CI84"/>
      <c r="CJ84"/>
      <c r="CK84"/>
      <c r="CL84"/>
      <c r="CM84"/>
      <c r="CN84"/>
      <c r="CO84"/>
      <c r="CP84"/>
      <c r="CQ84"/>
      <c r="CR84"/>
      <c r="CS84"/>
      <c r="CT84"/>
      <c r="CU84"/>
      <c r="CV84"/>
      <c r="CW84"/>
      <c r="CX84"/>
      <c r="CY84"/>
      <c r="CZ84"/>
      <c r="DA84"/>
      <c r="DB84"/>
      <c r="DC84"/>
      <c r="DD84"/>
    </row>
    <row r="85" spans="1:108" x14ac:dyDescent="0.25">
      <c r="A85" t="s">
        <v>99</v>
      </c>
      <c r="B85" t="s">
        <v>100</v>
      </c>
      <c r="C85" t="s">
        <v>5</v>
      </c>
      <c r="D85" t="s">
        <v>101</v>
      </c>
      <c r="E85" t="s">
        <v>102</v>
      </c>
      <c r="F85" t="s">
        <v>103</v>
      </c>
      <c r="G85" t="s">
        <v>104</v>
      </c>
      <c r="H85" t="s">
        <v>105</v>
      </c>
      <c r="I85" s="6" t="s">
        <v>106</v>
      </c>
      <c r="J85" s="6" t="s">
        <v>107</v>
      </c>
      <c r="K85" s="6" t="s">
        <v>277</v>
      </c>
      <c r="L85" s="6" t="s">
        <v>278</v>
      </c>
      <c r="M85" s="6" t="s">
        <v>279</v>
      </c>
      <c r="N85" s="6" t="s">
        <v>280</v>
      </c>
      <c r="O85" s="6" t="s">
        <v>112</v>
      </c>
      <c r="P85" s="6" t="s">
        <v>281</v>
      </c>
      <c r="Q85" s="6" t="s">
        <v>284</v>
      </c>
      <c r="R85" t="s">
        <v>112</v>
      </c>
      <c r="S85" t="s">
        <v>285</v>
      </c>
      <c r="T85"/>
      <c r="U85"/>
      <c r="V85" t="s">
        <v>116</v>
      </c>
      <c r="W85"/>
      <c r="X85"/>
      <c r="Y85" t="s">
        <v>116</v>
      </c>
      <c r="Z85"/>
      <c r="AA85"/>
      <c r="AB85" t="s">
        <v>116</v>
      </c>
      <c r="AC85"/>
      <c r="AD85"/>
      <c r="AE85" t="s">
        <v>116</v>
      </c>
      <c r="AF85" t="s">
        <v>117</v>
      </c>
      <c r="AG85" t="s">
        <v>118</v>
      </c>
      <c r="AH85" t="s">
        <v>119</v>
      </c>
      <c r="AI85" t="s">
        <v>120</v>
      </c>
      <c r="AJ85" t="s">
        <v>121</v>
      </c>
      <c r="AK85" t="s">
        <v>122</v>
      </c>
      <c r="AL85"/>
      <c r="AM85"/>
      <c r="AN85" t="s">
        <v>116</v>
      </c>
      <c r="AO85"/>
      <c r="AP85"/>
      <c r="AQ85" t="s">
        <v>116</v>
      </c>
      <c r="AR85"/>
      <c r="AS85"/>
      <c r="AT85" t="s">
        <v>116</v>
      </c>
      <c r="AU85"/>
      <c r="AV85"/>
      <c r="AW85" t="s">
        <v>116</v>
      </c>
      <c r="AX85"/>
      <c r="AY85"/>
      <c r="AZ85" t="s">
        <v>116</v>
      </c>
      <c r="BA85"/>
      <c r="BB85"/>
      <c r="BC85" t="s">
        <v>116</v>
      </c>
      <c r="BD85"/>
      <c r="BE85"/>
      <c r="BF85" t="s">
        <v>116</v>
      </c>
      <c r="BG85"/>
      <c r="BH85"/>
      <c r="BI85" t="s">
        <v>116</v>
      </c>
      <c r="BJ85"/>
      <c r="BK85"/>
      <c r="BL85" s="8">
        <v>13793.51</v>
      </c>
      <c r="BM85" s="8">
        <v>0</v>
      </c>
      <c r="BN85" s="8">
        <v>0</v>
      </c>
      <c r="BO85" s="8">
        <v>0</v>
      </c>
      <c r="BP85" s="8">
        <v>13793.51</v>
      </c>
      <c r="BQ85" s="8">
        <v>0</v>
      </c>
      <c r="BR85" s="8">
        <v>0</v>
      </c>
      <c r="BS85" s="8">
        <v>0</v>
      </c>
      <c r="BT85" s="8">
        <v>0</v>
      </c>
      <c r="BU85" s="8">
        <v>0</v>
      </c>
      <c r="BV85" s="8">
        <v>0</v>
      </c>
      <c r="BW85" s="8">
        <v>0</v>
      </c>
      <c r="BX85" s="8">
        <v>0</v>
      </c>
      <c r="BY85" t="s">
        <v>99</v>
      </c>
      <c r="BZ85" t="s">
        <v>123</v>
      </c>
      <c r="CA85"/>
      <c r="CB85"/>
      <c r="CC85"/>
      <c r="CD85"/>
      <c r="CE85"/>
      <c r="CF85"/>
      <c r="CG85"/>
      <c r="CH85"/>
      <c r="CI85"/>
      <c r="CJ85"/>
      <c r="CK85"/>
      <c r="CL85"/>
      <c r="CM85"/>
      <c r="CN85"/>
      <c r="CO85"/>
      <c r="CP85"/>
      <c r="CQ85"/>
      <c r="CR85"/>
      <c r="CS85"/>
      <c r="CT85"/>
      <c r="CU85"/>
      <c r="CV85"/>
      <c r="CW85"/>
      <c r="CX85"/>
      <c r="CY85"/>
      <c r="CZ85"/>
      <c r="DA85"/>
      <c r="DB85"/>
      <c r="DC85"/>
      <c r="DD85"/>
    </row>
    <row r="86" spans="1:108" x14ac:dyDescent="0.25">
      <c r="A86" t="s">
        <v>99</v>
      </c>
      <c r="B86" t="s">
        <v>100</v>
      </c>
      <c r="C86" t="s">
        <v>5</v>
      </c>
      <c r="D86" t="s">
        <v>101</v>
      </c>
      <c r="E86" t="s">
        <v>102</v>
      </c>
      <c r="F86" t="s">
        <v>103</v>
      </c>
      <c r="G86" t="s">
        <v>104</v>
      </c>
      <c r="H86" t="s">
        <v>105</v>
      </c>
      <c r="I86" s="6" t="s">
        <v>106</v>
      </c>
      <c r="J86" s="6" t="s">
        <v>107</v>
      </c>
      <c r="K86" s="6" t="s">
        <v>277</v>
      </c>
      <c r="L86" s="6" t="s">
        <v>278</v>
      </c>
      <c r="M86" s="6" t="s">
        <v>279</v>
      </c>
      <c r="N86" s="6" t="s">
        <v>280</v>
      </c>
      <c r="O86" s="6" t="s">
        <v>112</v>
      </c>
      <c r="P86" s="6" t="s">
        <v>281</v>
      </c>
      <c r="Q86" s="6" t="s">
        <v>284</v>
      </c>
      <c r="R86" t="s">
        <v>112</v>
      </c>
      <c r="S86" t="s">
        <v>285</v>
      </c>
      <c r="T86"/>
      <c r="U86"/>
      <c r="V86" t="s">
        <v>116</v>
      </c>
      <c r="W86"/>
      <c r="X86"/>
      <c r="Y86" t="s">
        <v>116</v>
      </c>
      <c r="Z86"/>
      <c r="AA86"/>
      <c r="AB86" t="s">
        <v>116</v>
      </c>
      <c r="AC86"/>
      <c r="AD86"/>
      <c r="AE86" t="s">
        <v>116</v>
      </c>
      <c r="AF86" t="s">
        <v>117</v>
      </c>
      <c r="AG86" t="s">
        <v>118</v>
      </c>
      <c r="AH86" t="s">
        <v>119</v>
      </c>
      <c r="AI86" t="s">
        <v>120</v>
      </c>
      <c r="AJ86" t="s">
        <v>121</v>
      </c>
      <c r="AK86" t="s">
        <v>122</v>
      </c>
      <c r="AL86" t="s">
        <v>164</v>
      </c>
      <c r="AM86" t="s">
        <v>165</v>
      </c>
      <c r="AN86" t="s">
        <v>166</v>
      </c>
      <c r="AO86"/>
      <c r="AP86"/>
      <c r="AQ86" t="s">
        <v>116</v>
      </c>
      <c r="AR86"/>
      <c r="AS86"/>
      <c r="AT86" t="s">
        <v>116</v>
      </c>
      <c r="AU86"/>
      <c r="AV86"/>
      <c r="AW86" t="s">
        <v>116</v>
      </c>
      <c r="AX86"/>
      <c r="AY86"/>
      <c r="AZ86" t="s">
        <v>116</v>
      </c>
      <c r="BA86"/>
      <c r="BB86"/>
      <c r="BC86" t="s">
        <v>116</v>
      </c>
      <c r="BD86"/>
      <c r="BE86"/>
      <c r="BF86" t="s">
        <v>116</v>
      </c>
      <c r="BG86"/>
      <c r="BH86"/>
      <c r="BI86" t="s">
        <v>116</v>
      </c>
      <c r="BJ86"/>
      <c r="BK86"/>
      <c r="BL86" s="8">
        <v>0</v>
      </c>
      <c r="BM86" s="8">
        <v>13377.01</v>
      </c>
      <c r="BN86" s="8">
        <v>13377.01</v>
      </c>
      <c r="BO86" s="8">
        <v>0</v>
      </c>
      <c r="BP86" s="8">
        <v>-13377.01</v>
      </c>
      <c r="BQ86" s="8">
        <v>0</v>
      </c>
      <c r="BR86" s="8">
        <v>0</v>
      </c>
      <c r="BS86" s="8">
        <v>0</v>
      </c>
      <c r="BT86" s="8">
        <v>0</v>
      </c>
      <c r="BU86" s="8">
        <v>0</v>
      </c>
      <c r="BV86" s="8">
        <v>0</v>
      </c>
      <c r="BW86" s="8">
        <v>0</v>
      </c>
      <c r="BX86" s="8">
        <v>0</v>
      </c>
      <c r="BY86" t="s">
        <v>99</v>
      </c>
      <c r="BZ86" t="s">
        <v>123</v>
      </c>
      <c r="CA86"/>
      <c r="CB86"/>
      <c r="CC86"/>
      <c r="CD86"/>
      <c r="CE86"/>
      <c r="CF86"/>
      <c r="CG86"/>
      <c r="CH86"/>
      <c r="CI86"/>
      <c r="CJ86"/>
      <c r="CK86"/>
      <c r="CL86"/>
      <c r="CM86"/>
      <c r="CN86"/>
      <c r="CO86"/>
      <c r="CP86"/>
      <c r="CQ86"/>
      <c r="CR86"/>
      <c r="CS86"/>
      <c r="CT86"/>
      <c r="CU86"/>
      <c r="CV86"/>
      <c r="CW86"/>
      <c r="CX86"/>
      <c r="CY86"/>
      <c r="CZ86"/>
      <c r="DA86"/>
      <c r="DB86"/>
      <c r="DC86"/>
      <c r="DD86"/>
    </row>
    <row r="87" spans="1:108" x14ac:dyDescent="0.25">
      <c r="A87" t="s">
        <v>99</v>
      </c>
      <c r="B87" t="s">
        <v>100</v>
      </c>
      <c r="C87" t="s">
        <v>5</v>
      </c>
      <c r="D87" t="s">
        <v>101</v>
      </c>
      <c r="E87" t="s">
        <v>102</v>
      </c>
      <c r="F87" t="s">
        <v>103</v>
      </c>
      <c r="G87" t="s">
        <v>104</v>
      </c>
      <c r="H87" t="s">
        <v>105</v>
      </c>
      <c r="I87" s="6" t="s">
        <v>106</v>
      </c>
      <c r="J87" s="6" t="s">
        <v>107</v>
      </c>
      <c r="K87" s="6" t="s">
        <v>277</v>
      </c>
      <c r="L87" s="6" t="s">
        <v>278</v>
      </c>
      <c r="M87" s="6" t="s">
        <v>279</v>
      </c>
      <c r="N87" s="6" t="s">
        <v>280</v>
      </c>
      <c r="O87" s="6" t="s">
        <v>112</v>
      </c>
      <c r="P87" s="6" t="s">
        <v>281</v>
      </c>
      <c r="Q87" s="6" t="s">
        <v>286</v>
      </c>
      <c r="R87" t="s">
        <v>112</v>
      </c>
      <c r="S87" t="s">
        <v>287</v>
      </c>
      <c r="T87"/>
      <c r="U87"/>
      <c r="V87" t="s">
        <v>116</v>
      </c>
      <c r="W87"/>
      <c r="X87"/>
      <c r="Y87" t="s">
        <v>116</v>
      </c>
      <c r="Z87"/>
      <c r="AA87"/>
      <c r="AB87" t="s">
        <v>116</v>
      </c>
      <c r="AC87"/>
      <c r="AD87"/>
      <c r="AE87" t="s">
        <v>116</v>
      </c>
      <c r="AF87" t="s">
        <v>117</v>
      </c>
      <c r="AG87" t="s">
        <v>118</v>
      </c>
      <c r="AH87" t="s">
        <v>119</v>
      </c>
      <c r="AI87" t="s">
        <v>120</v>
      </c>
      <c r="AJ87" t="s">
        <v>121</v>
      </c>
      <c r="AK87" t="s">
        <v>122</v>
      </c>
      <c r="AL87"/>
      <c r="AM87"/>
      <c r="AN87" t="s">
        <v>116</v>
      </c>
      <c r="AO87"/>
      <c r="AP87"/>
      <c r="AQ87" t="s">
        <v>116</v>
      </c>
      <c r="AR87"/>
      <c r="AS87"/>
      <c r="AT87" t="s">
        <v>116</v>
      </c>
      <c r="AU87"/>
      <c r="AV87"/>
      <c r="AW87" t="s">
        <v>116</v>
      </c>
      <c r="AX87"/>
      <c r="AY87"/>
      <c r="AZ87" t="s">
        <v>116</v>
      </c>
      <c r="BA87"/>
      <c r="BB87"/>
      <c r="BC87" t="s">
        <v>116</v>
      </c>
      <c r="BD87"/>
      <c r="BE87"/>
      <c r="BF87" t="s">
        <v>116</v>
      </c>
      <c r="BG87"/>
      <c r="BH87"/>
      <c r="BI87" t="s">
        <v>116</v>
      </c>
      <c r="BJ87"/>
      <c r="BK87"/>
      <c r="BL87" s="8">
        <v>2500</v>
      </c>
      <c r="BM87" s="8">
        <v>0</v>
      </c>
      <c r="BN87" s="8">
        <v>0</v>
      </c>
      <c r="BO87" s="8">
        <v>0</v>
      </c>
      <c r="BP87" s="8">
        <v>2500</v>
      </c>
      <c r="BQ87" s="8">
        <v>0</v>
      </c>
      <c r="BR87" s="8">
        <v>0</v>
      </c>
      <c r="BS87" s="8">
        <v>0</v>
      </c>
      <c r="BT87" s="8">
        <v>0</v>
      </c>
      <c r="BU87" s="8">
        <v>0</v>
      </c>
      <c r="BV87" s="8">
        <v>0</v>
      </c>
      <c r="BW87" s="8">
        <v>0</v>
      </c>
      <c r="BX87" s="8">
        <v>0</v>
      </c>
      <c r="BY87" t="s">
        <v>99</v>
      </c>
      <c r="BZ87" t="s">
        <v>123</v>
      </c>
      <c r="CA87"/>
      <c r="CB87"/>
      <c r="CC87"/>
      <c r="CD87"/>
      <c r="CE87"/>
      <c r="CF87"/>
      <c r="CG87"/>
      <c r="CH87"/>
      <c r="CI87"/>
      <c r="CJ87"/>
      <c r="CK87"/>
      <c r="CL87"/>
      <c r="CM87"/>
      <c r="CN87"/>
      <c r="CO87"/>
      <c r="CP87"/>
      <c r="CQ87"/>
      <c r="CR87"/>
      <c r="CS87"/>
      <c r="CT87"/>
      <c r="CU87"/>
      <c r="CV87"/>
      <c r="CW87"/>
      <c r="CX87"/>
      <c r="CY87"/>
      <c r="CZ87"/>
      <c r="DA87"/>
      <c r="DB87"/>
      <c r="DC87"/>
      <c r="DD87"/>
    </row>
    <row r="88" spans="1:108" x14ac:dyDescent="0.25">
      <c r="A88" t="s">
        <v>99</v>
      </c>
      <c r="B88" t="s">
        <v>100</v>
      </c>
      <c r="C88" t="s">
        <v>5</v>
      </c>
      <c r="D88" t="s">
        <v>101</v>
      </c>
      <c r="E88" t="s">
        <v>102</v>
      </c>
      <c r="F88" t="s">
        <v>103</v>
      </c>
      <c r="G88" t="s">
        <v>104</v>
      </c>
      <c r="H88" t="s">
        <v>105</v>
      </c>
      <c r="I88" s="6" t="s">
        <v>106</v>
      </c>
      <c r="J88" s="6" t="s">
        <v>107</v>
      </c>
      <c r="K88" s="6" t="s">
        <v>277</v>
      </c>
      <c r="L88" s="6" t="s">
        <v>278</v>
      </c>
      <c r="M88" s="6" t="s">
        <v>279</v>
      </c>
      <c r="N88" s="6" t="s">
        <v>280</v>
      </c>
      <c r="O88" s="6" t="s">
        <v>112</v>
      </c>
      <c r="P88" s="6" t="s">
        <v>281</v>
      </c>
      <c r="Q88" s="6" t="s">
        <v>286</v>
      </c>
      <c r="R88" t="s">
        <v>112</v>
      </c>
      <c r="S88" t="s">
        <v>287</v>
      </c>
      <c r="T88"/>
      <c r="U88"/>
      <c r="V88" t="s">
        <v>116</v>
      </c>
      <c r="W88"/>
      <c r="X88"/>
      <c r="Y88" t="s">
        <v>116</v>
      </c>
      <c r="Z88"/>
      <c r="AA88"/>
      <c r="AB88" t="s">
        <v>116</v>
      </c>
      <c r="AC88"/>
      <c r="AD88"/>
      <c r="AE88" t="s">
        <v>116</v>
      </c>
      <c r="AF88" t="s">
        <v>117</v>
      </c>
      <c r="AG88" t="s">
        <v>118</v>
      </c>
      <c r="AH88" t="s">
        <v>119</v>
      </c>
      <c r="AI88" t="s">
        <v>120</v>
      </c>
      <c r="AJ88" t="s">
        <v>121</v>
      </c>
      <c r="AK88" t="s">
        <v>122</v>
      </c>
      <c r="AL88" t="s">
        <v>288</v>
      </c>
      <c r="AM88" t="s">
        <v>289</v>
      </c>
      <c r="AN88" t="s">
        <v>290</v>
      </c>
      <c r="AO88"/>
      <c r="AP88"/>
      <c r="AQ88" t="s">
        <v>116</v>
      </c>
      <c r="AR88"/>
      <c r="AS88"/>
      <c r="AT88" t="s">
        <v>116</v>
      </c>
      <c r="AU88"/>
      <c r="AV88"/>
      <c r="AW88" t="s">
        <v>116</v>
      </c>
      <c r="AX88"/>
      <c r="AY88"/>
      <c r="AZ88" t="s">
        <v>116</v>
      </c>
      <c r="BA88"/>
      <c r="BB88"/>
      <c r="BC88" t="s">
        <v>116</v>
      </c>
      <c r="BD88"/>
      <c r="BE88"/>
      <c r="BF88" t="s">
        <v>116</v>
      </c>
      <c r="BG88"/>
      <c r="BH88"/>
      <c r="BI88" t="s">
        <v>116</v>
      </c>
      <c r="BJ88"/>
      <c r="BK88"/>
      <c r="BL88" s="8">
        <v>0</v>
      </c>
      <c r="BM88" s="8">
        <v>1027.5899999999999</v>
      </c>
      <c r="BN88" s="8">
        <v>1027.5899999999999</v>
      </c>
      <c r="BO88" s="8">
        <v>0</v>
      </c>
      <c r="BP88" s="8">
        <v>-1027.5899999999999</v>
      </c>
      <c r="BQ88" s="8">
        <v>0</v>
      </c>
      <c r="BR88" s="8">
        <v>0</v>
      </c>
      <c r="BS88" s="8">
        <v>0</v>
      </c>
      <c r="BT88" s="8">
        <v>0</v>
      </c>
      <c r="BU88" s="8">
        <v>0</v>
      </c>
      <c r="BV88" s="8">
        <v>0</v>
      </c>
      <c r="BW88" s="8">
        <v>0</v>
      </c>
      <c r="BX88" s="8">
        <v>0</v>
      </c>
      <c r="BY88" t="s">
        <v>99</v>
      </c>
      <c r="BZ88" t="s">
        <v>123</v>
      </c>
      <c r="CA88"/>
      <c r="CB88"/>
      <c r="CC88"/>
      <c r="CD88"/>
      <c r="CE88"/>
      <c r="CF88"/>
      <c r="CG88"/>
      <c r="CH88"/>
      <c r="CI88"/>
      <c r="CJ88"/>
      <c r="CK88"/>
      <c r="CL88"/>
      <c r="CM88"/>
      <c r="CN88"/>
      <c r="CO88"/>
      <c r="CP88"/>
      <c r="CQ88"/>
      <c r="CR88"/>
      <c r="CS88"/>
      <c r="CT88"/>
      <c r="CU88"/>
      <c r="CV88"/>
      <c r="CW88"/>
      <c r="CX88"/>
      <c r="CY88"/>
      <c r="CZ88"/>
      <c r="DA88"/>
      <c r="DB88"/>
      <c r="DC88"/>
      <c r="DD88"/>
    </row>
    <row r="89" spans="1:108" x14ac:dyDescent="0.25">
      <c r="A89" t="s">
        <v>99</v>
      </c>
      <c r="B89" t="s">
        <v>100</v>
      </c>
      <c r="C89" t="s">
        <v>5</v>
      </c>
      <c r="D89" t="s">
        <v>101</v>
      </c>
      <c r="E89" t="s">
        <v>102</v>
      </c>
      <c r="F89" t="s">
        <v>103</v>
      </c>
      <c r="G89" t="s">
        <v>104</v>
      </c>
      <c r="H89" t="s">
        <v>105</v>
      </c>
      <c r="I89" s="6" t="s">
        <v>106</v>
      </c>
      <c r="J89" s="6" t="s">
        <v>107</v>
      </c>
      <c r="K89" s="6" t="s">
        <v>277</v>
      </c>
      <c r="L89" s="6" t="s">
        <v>278</v>
      </c>
      <c r="M89" s="6" t="s">
        <v>279</v>
      </c>
      <c r="N89" s="6" t="s">
        <v>280</v>
      </c>
      <c r="O89" s="6" t="s">
        <v>112</v>
      </c>
      <c r="P89" s="6" t="s">
        <v>281</v>
      </c>
      <c r="Q89" s="6" t="s">
        <v>291</v>
      </c>
      <c r="R89" t="s">
        <v>112</v>
      </c>
      <c r="S89" t="s">
        <v>292</v>
      </c>
      <c r="T89"/>
      <c r="U89"/>
      <c r="V89" t="s">
        <v>116</v>
      </c>
      <c r="W89"/>
      <c r="X89"/>
      <c r="Y89" t="s">
        <v>116</v>
      </c>
      <c r="Z89"/>
      <c r="AA89"/>
      <c r="AB89" t="s">
        <v>116</v>
      </c>
      <c r="AC89"/>
      <c r="AD89"/>
      <c r="AE89" t="s">
        <v>116</v>
      </c>
      <c r="AF89" t="s">
        <v>117</v>
      </c>
      <c r="AG89" t="s">
        <v>118</v>
      </c>
      <c r="AH89" t="s">
        <v>119</v>
      </c>
      <c r="AI89" t="s">
        <v>120</v>
      </c>
      <c r="AJ89" t="s">
        <v>121</v>
      </c>
      <c r="AK89" t="s">
        <v>122</v>
      </c>
      <c r="AL89"/>
      <c r="AM89"/>
      <c r="AN89" t="s">
        <v>116</v>
      </c>
      <c r="AO89"/>
      <c r="AP89"/>
      <c r="AQ89" t="s">
        <v>116</v>
      </c>
      <c r="AR89"/>
      <c r="AS89"/>
      <c r="AT89" t="s">
        <v>116</v>
      </c>
      <c r="AU89"/>
      <c r="AV89"/>
      <c r="AW89" t="s">
        <v>116</v>
      </c>
      <c r="AX89"/>
      <c r="AY89"/>
      <c r="AZ89" t="s">
        <v>116</v>
      </c>
      <c r="BA89"/>
      <c r="BB89"/>
      <c r="BC89" t="s">
        <v>116</v>
      </c>
      <c r="BD89"/>
      <c r="BE89"/>
      <c r="BF89" t="s">
        <v>116</v>
      </c>
      <c r="BG89"/>
      <c r="BH89"/>
      <c r="BI89" t="s">
        <v>116</v>
      </c>
      <c r="BJ89"/>
      <c r="BK89"/>
      <c r="BL89" s="8">
        <v>2000</v>
      </c>
      <c r="BM89" s="8">
        <v>0</v>
      </c>
      <c r="BN89" s="8">
        <v>0</v>
      </c>
      <c r="BO89" s="8">
        <v>0</v>
      </c>
      <c r="BP89" s="8">
        <v>2000</v>
      </c>
      <c r="BQ89" s="8">
        <v>0</v>
      </c>
      <c r="BR89" s="8">
        <v>0</v>
      </c>
      <c r="BS89" s="8">
        <v>0</v>
      </c>
      <c r="BT89" s="8">
        <v>0</v>
      </c>
      <c r="BU89" s="8">
        <v>0</v>
      </c>
      <c r="BV89" s="8">
        <v>0</v>
      </c>
      <c r="BW89" s="8">
        <v>0</v>
      </c>
      <c r="BX89" s="8">
        <v>0</v>
      </c>
      <c r="BY89" t="s">
        <v>99</v>
      </c>
      <c r="BZ89" t="s">
        <v>123</v>
      </c>
      <c r="CA89"/>
      <c r="CB89"/>
      <c r="CC89"/>
      <c r="CD89"/>
      <c r="CE89"/>
      <c r="CF89"/>
      <c r="CG89"/>
      <c r="CH89"/>
      <c r="CI89"/>
      <c r="CJ89"/>
      <c r="CK89"/>
      <c r="CL89"/>
      <c r="CM89"/>
      <c r="CN89"/>
      <c r="CO89"/>
      <c r="CP89"/>
      <c r="CQ89"/>
      <c r="CR89"/>
      <c r="CS89"/>
      <c r="CT89"/>
      <c r="CU89"/>
      <c r="CV89"/>
      <c r="CW89"/>
      <c r="CX89"/>
      <c r="CY89"/>
      <c r="CZ89"/>
      <c r="DA89"/>
      <c r="DB89"/>
      <c r="DC89"/>
      <c r="DD89"/>
    </row>
    <row r="90" spans="1:108" x14ac:dyDescent="0.25">
      <c r="A90" t="s">
        <v>99</v>
      </c>
      <c r="B90" t="s">
        <v>100</v>
      </c>
      <c r="C90" t="s">
        <v>5</v>
      </c>
      <c r="D90" t="s">
        <v>101</v>
      </c>
      <c r="E90" t="s">
        <v>102</v>
      </c>
      <c r="F90" t="s">
        <v>103</v>
      </c>
      <c r="G90" t="s">
        <v>104</v>
      </c>
      <c r="H90" t="s">
        <v>105</v>
      </c>
      <c r="I90" s="6" t="s">
        <v>106</v>
      </c>
      <c r="J90" s="6" t="s">
        <v>107</v>
      </c>
      <c r="K90" s="6" t="s">
        <v>277</v>
      </c>
      <c r="L90" s="6" t="s">
        <v>278</v>
      </c>
      <c r="M90" s="6" t="s">
        <v>279</v>
      </c>
      <c r="N90" s="6" t="s">
        <v>280</v>
      </c>
      <c r="O90" s="6" t="s">
        <v>112</v>
      </c>
      <c r="P90" s="6" t="s">
        <v>281</v>
      </c>
      <c r="Q90" s="6" t="s">
        <v>291</v>
      </c>
      <c r="R90" t="s">
        <v>112</v>
      </c>
      <c r="S90" t="s">
        <v>292</v>
      </c>
      <c r="T90"/>
      <c r="U90"/>
      <c r="V90" t="s">
        <v>116</v>
      </c>
      <c r="W90"/>
      <c r="X90"/>
      <c r="Y90" t="s">
        <v>116</v>
      </c>
      <c r="Z90"/>
      <c r="AA90"/>
      <c r="AB90" t="s">
        <v>116</v>
      </c>
      <c r="AC90"/>
      <c r="AD90"/>
      <c r="AE90" t="s">
        <v>116</v>
      </c>
      <c r="AF90" t="s">
        <v>117</v>
      </c>
      <c r="AG90" t="s">
        <v>118</v>
      </c>
      <c r="AH90" t="s">
        <v>119</v>
      </c>
      <c r="AI90" t="s">
        <v>120</v>
      </c>
      <c r="AJ90" t="s">
        <v>121</v>
      </c>
      <c r="AK90" t="s">
        <v>122</v>
      </c>
      <c r="AL90" t="s">
        <v>293</v>
      </c>
      <c r="AM90" t="s">
        <v>294</v>
      </c>
      <c r="AN90" t="s">
        <v>295</v>
      </c>
      <c r="AO90"/>
      <c r="AP90"/>
      <c r="AQ90" t="s">
        <v>116</v>
      </c>
      <c r="AR90"/>
      <c r="AS90"/>
      <c r="AT90" t="s">
        <v>116</v>
      </c>
      <c r="AU90"/>
      <c r="AV90"/>
      <c r="AW90" t="s">
        <v>116</v>
      </c>
      <c r="AX90"/>
      <c r="AY90"/>
      <c r="AZ90" t="s">
        <v>116</v>
      </c>
      <c r="BA90"/>
      <c r="BB90"/>
      <c r="BC90" t="s">
        <v>116</v>
      </c>
      <c r="BD90"/>
      <c r="BE90"/>
      <c r="BF90" t="s">
        <v>116</v>
      </c>
      <c r="BG90"/>
      <c r="BH90"/>
      <c r="BI90" t="s">
        <v>116</v>
      </c>
      <c r="BJ90"/>
      <c r="BK90"/>
      <c r="BL90" s="8">
        <v>0</v>
      </c>
      <c r="BM90" s="8">
        <v>1972.6</v>
      </c>
      <c r="BN90" s="8">
        <v>1972.6</v>
      </c>
      <c r="BO90" s="8">
        <v>0</v>
      </c>
      <c r="BP90" s="8">
        <v>-1972.6</v>
      </c>
      <c r="BQ90" s="8">
        <v>0</v>
      </c>
      <c r="BR90" s="8">
        <v>0</v>
      </c>
      <c r="BS90" s="8">
        <v>0</v>
      </c>
      <c r="BT90" s="8">
        <v>0</v>
      </c>
      <c r="BU90" s="8">
        <v>0</v>
      </c>
      <c r="BV90" s="8">
        <v>0</v>
      </c>
      <c r="BW90" s="8">
        <v>0</v>
      </c>
      <c r="BX90" s="8">
        <v>0</v>
      </c>
      <c r="BY90" t="s">
        <v>99</v>
      </c>
      <c r="BZ90" t="s">
        <v>123</v>
      </c>
      <c r="CA90"/>
      <c r="CB90"/>
      <c r="CC90"/>
      <c r="CD90"/>
      <c r="CE90"/>
      <c r="CF90"/>
      <c r="CG90"/>
      <c r="CH90"/>
      <c r="CI90"/>
      <c r="CJ90"/>
      <c r="CK90"/>
      <c r="CL90"/>
      <c r="CM90"/>
      <c r="CN90"/>
      <c r="CO90"/>
      <c r="CP90"/>
      <c r="CQ90"/>
      <c r="CR90"/>
      <c r="CS90"/>
      <c r="CT90"/>
      <c r="CU90"/>
      <c r="CV90"/>
      <c r="CW90"/>
      <c r="CX90"/>
      <c r="CY90"/>
      <c r="CZ90"/>
      <c r="DA90"/>
      <c r="DB90"/>
      <c r="DC90"/>
      <c r="DD90"/>
    </row>
    <row r="91" spans="1:108" x14ac:dyDescent="0.25">
      <c r="A91" t="s">
        <v>99</v>
      </c>
      <c r="B91" t="s">
        <v>100</v>
      </c>
      <c r="C91" t="s">
        <v>5</v>
      </c>
      <c r="D91" t="s">
        <v>101</v>
      </c>
      <c r="E91" t="s">
        <v>102</v>
      </c>
      <c r="F91" t="s">
        <v>103</v>
      </c>
      <c r="G91" t="s">
        <v>104</v>
      </c>
      <c r="H91" t="s">
        <v>105</v>
      </c>
      <c r="I91" s="6" t="s">
        <v>106</v>
      </c>
      <c r="J91" s="6" t="s">
        <v>107</v>
      </c>
      <c r="K91" s="6" t="s">
        <v>277</v>
      </c>
      <c r="L91" s="6" t="s">
        <v>278</v>
      </c>
      <c r="M91" s="6" t="s">
        <v>279</v>
      </c>
      <c r="N91" s="6" t="s">
        <v>280</v>
      </c>
      <c r="O91" s="6" t="s">
        <v>112</v>
      </c>
      <c r="P91" s="6" t="s">
        <v>281</v>
      </c>
      <c r="Q91" s="6" t="s">
        <v>296</v>
      </c>
      <c r="R91" t="s">
        <v>112</v>
      </c>
      <c r="S91" t="s">
        <v>297</v>
      </c>
      <c r="T91"/>
      <c r="U91"/>
      <c r="V91" t="s">
        <v>116</v>
      </c>
      <c r="W91"/>
      <c r="X91"/>
      <c r="Y91" t="s">
        <v>116</v>
      </c>
      <c r="Z91"/>
      <c r="AA91"/>
      <c r="AB91" t="s">
        <v>116</v>
      </c>
      <c r="AC91"/>
      <c r="AD91"/>
      <c r="AE91" t="s">
        <v>116</v>
      </c>
      <c r="AF91" t="s">
        <v>117</v>
      </c>
      <c r="AG91" t="s">
        <v>118</v>
      </c>
      <c r="AH91" t="s">
        <v>119</v>
      </c>
      <c r="AI91" t="s">
        <v>120</v>
      </c>
      <c r="AJ91" t="s">
        <v>121</v>
      </c>
      <c r="AK91" t="s">
        <v>122</v>
      </c>
      <c r="AL91"/>
      <c r="AM91"/>
      <c r="AN91" t="s">
        <v>116</v>
      </c>
      <c r="AO91"/>
      <c r="AP91"/>
      <c r="AQ91" t="s">
        <v>116</v>
      </c>
      <c r="AR91"/>
      <c r="AS91"/>
      <c r="AT91" t="s">
        <v>116</v>
      </c>
      <c r="AU91"/>
      <c r="AV91"/>
      <c r="AW91" t="s">
        <v>116</v>
      </c>
      <c r="AX91"/>
      <c r="AY91"/>
      <c r="AZ91" t="s">
        <v>116</v>
      </c>
      <c r="BA91"/>
      <c r="BB91"/>
      <c r="BC91" t="s">
        <v>116</v>
      </c>
      <c r="BD91"/>
      <c r="BE91"/>
      <c r="BF91" t="s">
        <v>116</v>
      </c>
      <c r="BG91"/>
      <c r="BH91"/>
      <c r="BI91" t="s">
        <v>116</v>
      </c>
      <c r="BJ91"/>
      <c r="BK91"/>
      <c r="BL91" s="8">
        <v>23000</v>
      </c>
      <c r="BM91" s="8">
        <v>0</v>
      </c>
      <c r="BN91" s="8">
        <v>0</v>
      </c>
      <c r="BO91" s="8">
        <v>0</v>
      </c>
      <c r="BP91" s="8">
        <v>23000</v>
      </c>
      <c r="BQ91" s="8">
        <v>0</v>
      </c>
      <c r="BR91" s="8">
        <v>0</v>
      </c>
      <c r="BS91" s="8">
        <v>0</v>
      </c>
      <c r="BT91" s="8">
        <v>0</v>
      </c>
      <c r="BU91" s="8">
        <v>0</v>
      </c>
      <c r="BV91" s="8">
        <v>0</v>
      </c>
      <c r="BW91" s="8">
        <v>0</v>
      </c>
      <c r="BX91" s="8">
        <v>0</v>
      </c>
      <c r="BY91" t="s">
        <v>99</v>
      </c>
      <c r="BZ91" t="s">
        <v>123</v>
      </c>
      <c r="CA91"/>
      <c r="CB91"/>
      <c r="CC91"/>
      <c r="CD91"/>
      <c r="CE91"/>
      <c r="CF91"/>
      <c r="CG91"/>
      <c r="CH91"/>
      <c r="CI91"/>
      <c r="CJ91"/>
      <c r="CK91"/>
      <c r="CL91"/>
      <c r="CM91"/>
      <c r="CN91"/>
      <c r="CO91"/>
      <c r="CP91"/>
      <c r="CQ91"/>
      <c r="CR91"/>
      <c r="CS91"/>
      <c r="CT91"/>
      <c r="CU91"/>
      <c r="CV91"/>
      <c r="CW91"/>
      <c r="CX91"/>
      <c r="CY91"/>
      <c r="CZ91"/>
      <c r="DA91"/>
      <c r="DB91"/>
      <c r="DC91"/>
      <c r="DD91"/>
    </row>
    <row r="92" spans="1:108" x14ac:dyDescent="0.25">
      <c r="A92" t="s">
        <v>99</v>
      </c>
      <c r="B92" t="s">
        <v>100</v>
      </c>
      <c r="C92" t="s">
        <v>5</v>
      </c>
      <c r="D92" t="s">
        <v>101</v>
      </c>
      <c r="E92" t="s">
        <v>102</v>
      </c>
      <c r="F92" t="s">
        <v>103</v>
      </c>
      <c r="G92" t="s">
        <v>104</v>
      </c>
      <c r="H92" t="s">
        <v>105</v>
      </c>
      <c r="I92" s="6" t="s">
        <v>106</v>
      </c>
      <c r="J92" s="6" t="s">
        <v>107</v>
      </c>
      <c r="K92" s="6" t="s">
        <v>277</v>
      </c>
      <c r="L92" s="6" t="s">
        <v>278</v>
      </c>
      <c r="M92" s="6" t="s">
        <v>279</v>
      </c>
      <c r="N92" s="6" t="s">
        <v>280</v>
      </c>
      <c r="O92" s="6" t="s">
        <v>112</v>
      </c>
      <c r="P92" s="6" t="s">
        <v>281</v>
      </c>
      <c r="Q92" s="6" t="s">
        <v>296</v>
      </c>
      <c r="R92" t="s">
        <v>112</v>
      </c>
      <c r="S92" t="s">
        <v>297</v>
      </c>
      <c r="T92"/>
      <c r="U92"/>
      <c r="V92" t="s">
        <v>116</v>
      </c>
      <c r="W92"/>
      <c r="X92"/>
      <c r="Y92" t="s">
        <v>116</v>
      </c>
      <c r="Z92"/>
      <c r="AA92"/>
      <c r="AB92" t="s">
        <v>116</v>
      </c>
      <c r="AC92"/>
      <c r="AD92"/>
      <c r="AE92" t="s">
        <v>116</v>
      </c>
      <c r="AF92" t="s">
        <v>117</v>
      </c>
      <c r="AG92" t="s">
        <v>118</v>
      </c>
      <c r="AH92" t="s">
        <v>119</v>
      </c>
      <c r="AI92" t="s">
        <v>120</v>
      </c>
      <c r="AJ92" t="s">
        <v>121</v>
      </c>
      <c r="AK92" t="s">
        <v>122</v>
      </c>
      <c r="AL92" t="s">
        <v>288</v>
      </c>
      <c r="AM92" t="s">
        <v>289</v>
      </c>
      <c r="AN92" t="s">
        <v>290</v>
      </c>
      <c r="AO92"/>
      <c r="AP92"/>
      <c r="AQ92" t="s">
        <v>116</v>
      </c>
      <c r="AR92"/>
      <c r="AS92"/>
      <c r="AT92" t="s">
        <v>116</v>
      </c>
      <c r="AU92"/>
      <c r="AV92"/>
      <c r="AW92" t="s">
        <v>116</v>
      </c>
      <c r="AX92"/>
      <c r="AY92"/>
      <c r="AZ92" t="s">
        <v>116</v>
      </c>
      <c r="BA92"/>
      <c r="BB92"/>
      <c r="BC92" t="s">
        <v>116</v>
      </c>
      <c r="BD92"/>
      <c r="BE92"/>
      <c r="BF92" t="s">
        <v>116</v>
      </c>
      <c r="BG92"/>
      <c r="BH92"/>
      <c r="BI92" t="s">
        <v>116</v>
      </c>
      <c r="BJ92"/>
      <c r="BK92"/>
      <c r="BL92" s="8">
        <v>0</v>
      </c>
      <c r="BM92" s="8">
        <v>16628.740000000002</v>
      </c>
      <c r="BN92" s="8">
        <v>16628.740000000002</v>
      </c>
      <c r="BO92" s="8">
        <v>0</v>
      </c>
      <c r="BP92" s="8">
        <v>-16628.740000000002</v>
      </c>
      <c r="BQ92" s="8">
        <v>0</v>
      </c>
      <c r="BR92" s="8">
        <v>0</v>
      </c>
      <c r="BS92" s="8">
        <v>0</v>
      </c>
      <c r="BT92" s="8">
        <v>0</v>
      </c>
      <c r="BU92" s="8">
        <v>0</v>
      </c>
      <c r="BV92" s="8">
        <v>0</v>
      </c>
      <c r="BW92" s="8">
        <v>0</v>
      </c>
      <c r="BX92" s="8">
        <v>0</v>
      </c>
      <c r="BY92" t="s">
        <v>99</v>
      </c>
      <c r="BZ92" t="s">
        <v>123</v>
      </c>
      <c r="CA92"/>
      <c r="CB92"/>
      <c r="CC92"/>
      <c r="CD92"/>
      <c r="CE92"/>
      <c r="CF92"/>
      <c r="CG92"/>
      <c r="CH92"/>
      <c r="CI92"/>
      <c r="CJ92"/>
      <c r="CK92"/>
      <c r="CL92"/>
      <c r="CM92"/>
      <c r="CN92"/>
      <c r="CO92"/>
      <c r="CP92"/>
      <c r="CQ92"/>
      <c r="CR92"/>
      <c r="CS92"/>
      <c r="CT92"/>
      <c r="CU92"/>
      <c r="CV92"/>
      <c r="CW92"/>
      <c r="CX92"/>
      <c r="CY92"/>
      <c r="CZ92"/>
      <c r="DA92"/>
      <c r="DB92"/>
      <c r="DC92"/>
      <c r="DD92"/>
    </row>
    <row r="93" spans="1:108" x14ac:dyDescent="0.25">
      <c r="A93" t="s">
        <v>99</v>
      </c>
      <c r="B93" t="s">
        <v>100</v>
      </c>
      <c r="C93" t="s">
        <v>5</v>
      </c>
      <c r="D93" t="s">
        <v>101</v>
      </c>
      <c r="E93" t="s">
        <v>102</v>
      </c>
      <c r="F93" t="s">
        <v>103</v>
      </c>
      <c r="G93" t="s">
        <v>104</v>
      </c>
      <c r="H93" t="s">
        <v>105</v>
      </c>
      <c r="I93" s="6" t="s">
        <v>106</v>
      </c>
      <c r="J93" s="6" t="s">
        <v>107</v>
      </c>
      <c r="K93" s="6" t="s">
        <v>277</v>
      </c>
      <c r="L93" s="6" t="s">
        <v>278</v>
      </c>
      <c r="M93" s="6" t="s">
        <v>279</v>
      </c>
      <c r="N93" s="6" t="s">
        <v>280</v>
      </c>
      <c r="O93" s="6" t="s">
        <v>112</v>
      </c>
      <c r="P93" s="6" t="s">
        <v>281</v>
      </c>
      <c r="Q93" s="6" t="s">
        <v>298</v>
      </c>
      <c r="R93" t="s">
        <v>112</v>
      </c>
      <c r="S93" t="s">
        <v>299</v>
      </c>
      <c r="T93"/>
      <c r="U93"/>
      <c r="V93" t="s">
        <v>116</v>
      </c>
      <c r="W93"/>
      <c r="X93"/>
      <c r="Y93" t="s">
        <v>116</v>
      </c>
      <c r="Z93"/>
      <c r="AA93"/>
      <c r="AB93" t="s">
        <v>116</v>
      </c>
      <c r="AC93"/>
      <c r="AD93"/>
      <c r="AE93" t="s">
        <v>116</v>
      </c>
      <c r="AF93" t="s">
        <v>117</v>
      </c>
      <c r="AG93" t="s">
        <v>118</v>
      </c>
      <c r="AH93" t="s">
        <v>119</v>
      </c>
      <c r="AI93" t="s">
        <v>120</v>
      </c>
      <c r="AJ93" t="s">
        <v>121</v>
      </c>
      <c r="AK93" t="s">
        <v>122</v>
      </c>
      <c r="AL93"/>
      <c r="AM93"/>
      <c r="AN93" t="s">
        <v>116</v>
      </c>
      <c r="AO93"/>
      <c r="AP93"/>
      <c r="AQ93" t="s">
        <v>116</v>
      </c>
      <c r="AR93"/>
      <c r="AS93"/>
      <c r="AT93" t="s">
        <v>116</v>
      </c>
      <c r="AU93"/>
      <c r="AV93"/>
      <c r="AW93" t="s">
        <v>116</v>
      </c>
      <c r="AX93"/>
      <c r="AY93"/>
      <c r="AZ93" t="s">
        <v>116</v>
      </c>
      <c r="BA93"/>
      <c r="BB93"/>
      <c r="BC93" t="s">
        <v>116</v>
      </c>
      <c r="BD93"/>
      <c r="BE93"/>
      <c r="BF93" t="s">
        <v>116</v>
      </c>
      <c r="BG93"/>
      <c r="BH93"/>
      <c r="BI93" t="s">
        <v>116</v>
      </c>
      <c r="BJ93"/>
      <c r="BK93"/>
      <c r="BL93" s="8">
        <v>698</v>
      </c>
      <c r="BM93" s="8">
        <v>0</v>
      </c>
      <c r="BN93" s="8">
        <v>0</v>
      </c>
      <c r="BO93" s="8">
        <v>0</v>
      </c>
      <c r="BP93" s="8">
        <v>698</v>
      </c>
      <c r="BQ93" s="8">
        <v>0</v>
      </c>
      <c r="BR93" s="8">
        <v>0</v>
      </c>
      <c r="BS93" s="8">
        <v>0</v>
      </c>
      <c r="BT93" s="8">
        <v>0</v>
      </c>
      <c r="BU93" s="8">
        <v>0</v>
      </c>
      <c r="BV93" s="8">
        <v>0</v>
      </c>
      <c r="BW93" s="8">
        <v>0</v>
      </c>
      <c r="BX93" s="8">
        <v>0</v>
      </c>
      <c r="BY93" t="s">
        <v>99</v>
      </c>
      <c r="BZ93" t="s">
        <v>123</v>
      </c>
      <c r="CA93"/>
      <c r="CB93"/>
      <c r="CC93"/>
      <c r="CD93"/>
      <c r="CE93"/>
      <c r="CF93"/>
      <c r="CG93"/>
      <c r="CH93"/>
      <c r="CI93"/>
      <c r="CJ93"/>
      <c r="CK93"/>
      <c r="CL93"/>
      <c r="CM93"/>
      <c r="CN93"/>
      <c r="CO93"/>
      <c r="CP93"/>
      <c r="CQ93"/>
      <c r="CR93"/>
      <c r="CS93"/>
      <c r="CT93"/>
      <c r="CU93"/>
      <c r="CV93"/>
      <c r="CW93"/>
      <c r="CX93"/>
      <c r="CY93"/>
      <c r="CZ93"/>
      <c r="DA93"/>
      <c r="DB93"/>
      <c r="DC93"/>
      <c r="DD93"/>
    </row>
    <row r="94" spans="1:108" x14ac:dyDescent="0.25">
      <c r="A94" t="s">
        <v>99</v>
      </c>
      <c r="B94" t="s">
        <v>100</v>
      </c>
      <c r="C94" t="s">
        <v>5</v>
      </c>
      <c r="D94" t="s">
        <v>101</v>
      </c>
      <c r="E94" t="s">
        <v>102</v>
      </c>
      <c r="F94" t="s">
        <v>103</v>
      </c>
      <c r="G94" t="s">
        <v>104</v>
      </c>
      <c r="H94" t="s">
        <v>105</v>
      </c>
      <c r="I94" s="6" t="s">
        <v>106</v>
      </c>
      <c r="J94" s="6" t="s">
        <v>107</v>
      </c>
      <c r="K94" s="6" t="s">
        <v>277</v>
      </c>
      <c r="L94" s="6" t="s">
        <v>278</v>
      </c>
      <c r="M94" s="6" t="s">
        <v>279</v>
      </c>
      <c r="N94" s="6" t="s">
        <v>280</v>
      </c>
      <c r="O94" s="6" t="s">
        <v>112</v>
      </c>
      <c r="P94" s="6" t="s">
        <v>281</v>
      </c>
      <c r="Q94" s="6" t="s">
        <v>298</v>
      </c>
      <c r="R94" t="s">
        <v>112</v>
      </c>
      <c r="S94" t="s">
        <v>299</v>
      </c>
      <c r="T94"/>
      <c r="U94"/>
      <c r="V94" t="s">
        <v>116</v>
      </c>
      <c r="W94"/>
      <c r="X94"/>
      <c r="Y94" t="s">
        <v>116</v>
      </c>
      <c r="Z94"/>
      <c r="AA94"/>
      <c r="AB94" t="s">
        <v>116</v>
      </c>
      <c r="AC94"/>
      <c r="AD94"/>
      <c r="AE94" t="s">
        <v>116</v>
      </c>
      <c r="AF94" t="s">
        <v>117</v>
      </c>
      <c r="AG94" t="s">
        <v>118</v>
      </c>
      <c r="AH94" t="s">
        <v>119</v>
      </c>
      <c r="AI94" t="s">
        <v>120</v>
      </c>
      <c r="AJ94" t="s">
        <v>121</v>
      </c>
      <c r="AK94" t="s">
        <v>122</v>
      </c>
      <c r="AL94" t="s">
        <v>300</v>
      </c>
      <c r="AM94" t="s">
        <v>301</v>
      </c>
      <c r="AN94" t="s">
        <v>302</v>
      </c>
      <c r="AO94"/>
      <c r="AP94"/>
      <c r="AQ94" t="s">
        <v>116</v>
      </c>
      <c r="AR94"/>
      <c r="AS94"/>
      <c r="AT94" t="s">
        <v>116</v>
      </c>
      <c r="AU94"/>
      <c r="AV94"/>
      <c r="AW94" t="s">
        <v>116</v>
      </c>
      <c r="AX94"/>
      <c r="AY94"/>
      <c r="AZ94" t="s">
        <v>116</v>
      </c>
      <c r="BA94"/>
      <c r="BB94"/>
      <c r="BC94" t="s">
        <v>116</v>
      </c>
      <c r="BD94"/>
      <c r="BE94"/>
      <c r="BF94" t="s">
        <v>116</v>
      </c>
      <c r="BG94"/>
      <c r="BH94"/>
      <c r="BI94" t="s">
        <v>116</v>
      </c>
      <c r="BJ94"/>
      <c r="BK94"/>
      <c r="BL94" s="8">
        <v>0</v>
      </c>
      <c r="BM94" s="8">
        <v>8</v>
      </c>
      <c r="BN94" s="8">
        <v>8</v>
      </c>
      <c r="BO94" s="8">
        <v>0</v>
      </c>
      <c r="BP94" s="8">
        <v>-8</v>
      </c>
      <c r="BQ94" s="8">
        <v>0</v>
      </c>
      <c r="BR94" s="8">
        <v>0</v>
      </c>
      <c r="BS94" s="8">
        <v>0</v>
      </c>
      <c r="BT94" s="8">
        <v>0</v>
      </c>
      <c r="BU94" s="8">
        <v>0</v>
      </c>
      <c r="BV94" s="8">
        <v>0</v>
      </c>
      <c r="BW94" s="8">
        <v>0</v>
      </c>
      <c r="BX94" s="8">
        <v>0</v>
      </c>
      <c r="BY94" t="s">
        <v>99</v>
      </c>
      <c r="BZ94" t="s">
        <v>123</v>
      </c>
      <c r="CA94"/>
      <c r="CB94"/>
      <c r="CC94"/>
      <c r="CD94"/>
      <c r="CE94"/>
      <c r="CF94"/>
      <c r="CG94"/>
      <c r="CH94"/>
      <c r="CI94"/>
      <c r="CJ94"/>
      <c r="CK94"/>
      <c r="CL94"/>
      <c r="CM94"/>
      <c r="CN94"/>
      <c r="CO94"/>
      <c r="CP94"/>
      <c r="CQ94"/>
      <c r="CR94"/>
      <c r="CS94"/>
      <c r="CT94"/>
      <c r="CU94"/>
      <c r="CV94"/>
      <c r="CW94"/>
      <c r="CX94"/>
      <c r="CY94"/>
      <c r="CZ94"/>
      <c r="DA94"/>
      <c r="DB94"/>
      <c r="DC94"/>
      <c r="DD94"/>
    </row>
    <row r="95" spans="1:108" x14ac:dyDescent="0.25">
      <c r="A95" t="s">
        <v>99</v>
      </c>
      <c r="B95" t="s">
        <v>100</v>
      </c>
      <c r="C95" t="s">
        <v>5</v>
      </c>
      <c r="D95" t="s">
        <v>101</v>
      </c>
      <c r="E95" t="s">
        <v>102</v>
      </c>
      <c r="F95" t="s">
        <v>103</v>
      </c>
      <c r="G95" t="s">
        <v>104</v>
      </c>
      <c r="H95" t="s">
        <v>105</v>
      </c>
      <c r="I95" s="6" t="s">
        <v>106</v>
      </c>
      <c r="J95" s="6" t="s">
        <v>107</v>
      </c>
      <c r="K95" s="6" t="s">
        <v>277</v>
      </c>
      <c r="L95" s="6" t="s">
        <v>278</v>
      </c>
      <c r="M95" s="6" t="s">
        <v>279</v>
      </c>
      <c r="N95" s="6" t="s">
        <v>280</v>
      </c>
      <c r="O95" s="6" t="s">
        <v>112</v>
      </c>
      <c r="P95" s="6" t="s">
        <v>281</v>
      </c>
      <c r="Q95" s="6" t="s">
        <v>303</v>
      </c>
      <c r="R95" t="s">
        <v>112</v>
      </c>
      <c r="S95" t="s">
        <v>304</v>
      </c>
      <c r="T95"/>
      <c r="U95"/>
      <c r="V95" t="s">
        <v>116</v>
      </c>
      <c r="W95"/>
      <c r="X95"/>
      <c r="Y95" t="s">
        <v>116</v>
      </c>
      <c r="Z95"/>
      <c r="AA95"/>
      <c r="AB95" t="s">
        <v>116</v>
      </c>
      <c r="AC95"/>
      <c r="AD95"/>
      <c r="AE95" t="s">
        <v>116</v>
      </c>
      <c r="AF95" t="s">
        <v>117</v>
      </c>
      <c r="AG95" t="s">
        <v>118</v>
      </c>
      <c r="AH95" t="s">
        <v>119</v>
      </c>
      <c r="AI95" t="s">
        <v>120</v>
      </c>
      <c r="AJ95" t="s">
        <v>121</v>
      </c>
      <c r="AK95" t="s">
        <v>122</v>
      </c>
      <c r="AL95"/>
      <c r="AM95"/>
      <c r="AN95" t="s">
        <v>116</v>
      </c>
      <c r="AO95"/>
      <c r="AP95"/>
      <c r="AQ95" t="s">
        <v>116</v>
      </c>
      <c r="AR95"/>
      <c r="AS95"/>
      <c r="AT95" t="s">
        <v>116</v>
      </c>
      <c r="AU95"/>
      <c r="AV95"/>
      <c r="AW95" t="s">
        <v>116</v>
      </c>
      <c r="AX95"/>
      <c r="AY95"/>
      <c r="AZ95" t="s">
        <v>116</v>
      </c>
      <c r="BA95"/>
      <c r="BB95"/>
      <c r="BC95" t="s">
        <v>116</v>
      </c>
      <c r="BD95"/>
      <c r="BE95"/>
      <c r="BF95" t="s">
        <v>116</v>
      </c>
      <c r="BG95"/>
      <c r="BH95"/>
      <c r="BI95" t="s">
        <v>116</v>
      </c>
      <c r="BJ95"/>
      <c r="BK95"/>
      <c r="BL95" s="8">
        <v>711.45</v>
      </c>
      <c r="BM95" s="8">
        <v>0</v>
      </c>
      <c r="BN95" s="8">
        <v>0</v>
      </c>
      <c r="BO95" s="8">
        <v>0</v>
      </c>
      <c r="BP95" s="8">
        <v>711.45</v>
      </c>
      <c r="BQ95" s="8">
        <v>0</v>
      </c>
      <c r="BR95" s="8">
        <v>0</v>
      </c>
      <c r="BS95" s="8">
        <v>0</v>
      </c>
      <c r="BT95" s="8">
        <v>0</v>
      </c>
      <c r="BU95" s="8">
        <v>0</v>
      </c>
      <c r="BV95" s="8">
        <v>0</v>
      </c>
      <c r="BW95" s="8">
        <v>0</v>
      </c>
      <c r="BX95" s="8">
        <v>0</v>
      </c>
      <c r="BY95" t="s">
        <v>99</v>
      </c>
      <c r="BZ95" t="s">
        <v>123</v>
      </c>
      <c r="CA95"/>
      <c r="CB95"/>
      <c r="CC95"/>
      <c r="CD95"/>
      <c r="CE95"/>
      <c r="CF95"/>
      <c r="CG95"/>
      <c r="CH95"/>
      <c r="CI95"/>
      <c r="CJ95"/>
      <c r="CK95"/>
      <c r="CL95"/>
      <c r="CM95"/>
      <c r="CN95"/>
      <c r="CO95"/>
      <c r="CP95"/>
      <c r="CQ95"/>
      <c r="CR95"/>
      <c r="CS95"/>
      <c r="CT95"/>
      <c r="CU95"/>
      <c r="CV95"/>
      <c r="CW95"/>
      <c r="CX95"/>
      <c r="CY95"/>
      <c r="CZ95"/>
      <c r="DA95"/>
      <c r="DB95"/>
      <c r="DC95"/>
      <c r="DD95"/>
    </row>
    <row r="96" spans="1:108" x14ac:dyDescent="0.25">
      <c r="A96" t="s">
        <v>99</v>
      </c>
      <c r="B96" t="s">
        <v>100</v>
      </c>
      <c r="C96" t="s">
        <v>5</v>
      </c>
      <c r="D96" t="s">
        <v>101</v>
      </c>
      <c r="E96" t="s">
        <v>102</v>
      </c>
      <c r="F96" t="s">
        <v>103</v>
      </c>
      <c r="G96" t="s">
        <v>104</v>
      </c>
      <c r="H96" t="s">
        <v>105</v>
      </c>
      <c r="I96" s="6" t="s">
        <v>106</v>
      </c>
      <c r="J96" s="6" t="s">
        <v>107</v>
      </c>
      <c r="K96" s="6" t="s">
        <v>277</v>
      </c>
      <c r="L96" s="6" t="s">
        <v>278</v>
      </c>
      <c r="M96" s="6" t="s">
        <v>279</v>
      </c>
      <c r="N96" s="6" t="s">
        <v>280</v>
      </c>
      <c r="O96" s="6" t="s">
        <v>112</v>
      </c>
      <c r="P96" s="6" t="s">
        <v>281</v>
      </c>
      <c r="Q96" s="6" t="s">
        <v>303</v>
      </c>
      <c r="R96" t="s">
        <v>112</v>
      </c>
      <c r="S96" t="s">
        <v>304</v>
      </c>
      <c r="T96"/>
      <c r="U96"/>
      <c r="V96" t="s">
        <v>116</v>
      </c>
      <c r="W96"/>
      <c r="X96"/>
      <c r="Y96" t="s">
        <v>116</v>
      </c>
      <c r="Z96"/>
      <c r="AA96"/>
      <c r="AB96" t="s">
        <v>116</v>
      </c>
      <c r="AC96"/>
      <c r="AD96"/>
      <c r="AE96" t="s">
        <v>116</v>
      </c>
      <c r="AF96" t="s">
        <v>117</v>
      </c>
      <c r="AG96" t="s">
        <v>118</v>
      </c>
      <c r="AH96" t="s">
        <v>119</v>
      </c>
      <c r="AI96" t="s">
        <v>120</v>
      </c>
      <c r="AJ96" t="s">
        <v>121</v>
      </c>
      <c r="AK96" t="s">
        <v>122</v>
      </c>
      <c r="AL96" t="s">
        <v>305</v>
      </c>
      <c r="AM96" t="s">
        <v>306</v>
      </c>
      <c r="AN96" t="s">
        <v>307</v>
      </c>
      <c r="AO96"/>
      <c r="AP96"/>
      <c r="AQ96" t="s">
        <v>116</v>
      </c>
      <c r="AR96"/>
      <c r="AS96"/>
      <c r="AT96" t="s">
        <v>116</v>
      </c>
      <c r="AU96"/>
      <c r="AV96"/>
      <c r="AW96" t="s">
        <v>116</v>
      </c>
      <c r="AX96"/>
      <c r="AY96"/>
      <c r="AZ96" t="s">
        <v>116</v>
      </c>
      <c r="BA96"/>
      <c r="BB96"/>
      <c r="BC96" t="s">
        <v>116</v>
      </c>
      <c r="BD96"/>
      <c r="BE96"/>
      <c r="BF96" t="s">
        <v>116</v>
      </c>
      <c r="BG96"/>
      <c r="BH96"/>
      <c r="BI96" t="s">
        <v>116</v>
      </c>
      <c r="BJ96"/>
      <c r="BK96"/>
      <c r="BL96" s="8">
        <v>0</v>
      </c>
      <c r="BM96" s="8">
        <v>711.45</v>
      </c>
      <c r="BN96" s="8">
        <v>711.45</v>
      </c>
      <c r="BO96" s="8">
        <v>0</v>
      </c>
      <c r="BP96" s="8">
        <v>-711.45</v>
      </c>
      <c r="BQ96" s="8">
        <v>0</v>
      </c>
      <c r="BR96" s="8">
        <v>0</v>
      </c>
      <c r="BS96" s="8">
        <v>0</v>
      </c>
      <c r="BT96" s="8">
        <v>0</v>
      </c>
      <c r="BU96" s="8">
        <v>0</v>
      </c>
      <c r="BV96" s="8">
        <v>0</v>
      </c>
      <c r="BW96" s="8">
        <v>0</v>
      </c>
      <c r="BX96" s="8">
        <v>0</v>
      </c>
      <c r="BY96" t="s">
        <v>99</v>
      </c>
      <c r="BZ96" t="s">
        <v>123</v>
      </c>
      <c r="CA96"/>
      <c r="CB96"/>
      <c r="CC96"/>
      <c r="CD96"/>
      <c r="CE96"/>
      <c r="CF96"/>
      <c r="CG96"/>
      <c r="CH96"/>
      <c r="CI96"/>
      <c r="CJ96"/>
      <c r="CK96"/>
      <c r="CL96"/>
      <c r="CM96"/>
      <c r="CN96"/>
      <c r="CO96"/>
      <c r="CP96"/>
      <c r="CQ96"/>
      <c r="CR96"/>
      <c r="CS96"/>
      <c r="CT96"/>
      <c r="CU96"/>
      <c r="CV96"/>
      <c r="CW96"/>
      <c r="CX96"/>
      <c r="CY96"/>
      <c r="CZ96"/>
      <c r="DA96"/>
      <c r="DB96"/>
      <c r="DC96"/>
      <c r="DD96"/>
    </row>
    <row r="97" spans="1:108" x14ac:dyDescent="0.25">
      <c r="A97" t="s">
        <v>99</v>
      </c>
      <c r="B97" t="s">
        <v>100</v>
      </c>
      <c r="C97" t="s">
        <v>5</v>
      </c>
      <c r="D97" t="s">
        <v>101</v>
      </c>
      <c r="E97" t="s">
        <v>102</v>
      </c>
      <c r="F97" t="s">
        <v>103</v>
      </c>
      <c r="G97" t="s">
        <v>104</v>
      </c>
      <c r="H97" t="s">
        <v>105</v>
      </c>
      <c r="I97" s="6" t="s">
        <v>106</v>
      </c>
      <c r="J97" s="6" t="s">
        <v>107</v>
      </c>
      <c r="K97" s="6" t="s">
        <v>277</v>
      </c>
      <c r="L97" s="6" t="s">
        <v>278</v>
      </c>
      <c r="M97" s="6" t="s">
        <v>279</v>
      </c>
      <c r="N97" s="6" t="s">
        <v>280</v>
      </c>
      <c r="O97" s="6" t="s">
        <v>112</v>
      </c>
      <c r="P97" s="6" t="s">
        <v>281</v>
      </c>
      <c r="Q97" s="6" t="s">
        <v>308</v>
      </c>
      <c r="R97" t="s">
        <v>112</v>
      </c>
      <c r="S97" t="s">
        <v>309</v>
      </c>
      <c r="T97"/>
      <c r="U97"/>
      <c r="V97" t="s">
        <v>116</v>
      </c>
      <c r="W97"/>
      <c r="X97"/>
      <c r="Y97" t="s">
        <v>116</v>
      </c>
      <c r="Z97"/>
      <c r="AA97"/>
      <c r="AB97" t="s">
        <v>116</v>
      </c>
      <c r="AC97"/>
      <c r="AD97"/>
      <c r="AE97" t="s">
        <v>116</v>
      </c>
      <c r="AF97" t="s">
        <v>117</v>
      </c>
      <c r="AG97" t="s">
        <v>118</v>
      </c>
      <c r="AH97" t="s">
        <v>119</v>
      </c>
      <c r="AI97" t="s">
        <v>120</v>
      </c>
      <c r="AJ97" t="s">
        <v>121</v>
      </c>
      <c r="AK97" t="s">
        <v>122</v>
      </c>
      <c r="AL97"/>
      <c r="AM97"/>
      <c r="AN97" t="s">
        <v>116</v>
      </c>
      <c r="AO97"/>
      <c r="AP97"/>
      <c r="AQ97" t="s">
        <v>116</v>
      </c>
      <c r="AR97"/>
      <c r="AS97"/>
      <c r="AT97" t="s">
        <v>116</v>
      </c>
      <c r="AU97"/>
      <c r="AV97"/>
      <c r="AW97" t="s">
        <v>116</v>
      </c>
      <c r="AX97"/>
      <c r="AY97"/>
      <c r="AZ97" t="s">
        <v>116</v>
      </c>
      <c r="BA97"/>
      <c r="BB97"/>
      <c r="BC97" t="s">
        <v>116</v>
      </c>
      <c r="BD97"/>
      <c r="BE97"/>
      <c r="BF97" t="s">
        <v>116</v>
      </c>
      <c r="BG97"/>
      <c r="BH97"/>
      <c r="BI97" t="s">
        <v>116</v>
      </c>
      <c r="BJ97"/>
      <c r="BK97"/>
      <c r="BL97" s="8">
        <v>7551.6</v>
      </c>
      <c r="BM97" s="8">
        <v>0</v>
      </c>
      <c r="BN97" s="8">
        <v>0</v>
      </c>
      <c r="BO97" s="8">
        <v>0</v>
      </c>
      <c r="BP97" s="8">
        <v>7551.6</v>
      </c>
      <c r="BQ97" s="8">
        <v>0</v>
      </c>
      <c r="BR97" s="8">
        <v>0</v>
      </c>
      <c r="BS97" s="8">
        <v>0</v>
      </c>
      <c r="BT97" s="8">
        <v>0</v>
      </c>
      <c r="BU97" s="8">
        <v>0</v>
      </c>
      <c r="BV97" s="8">
        <v>0</v>
      </c>
      <c r="BW97" s="8">
        <v>0</v>
      </c>
      <c r="BX97" s="8">
        <v>0</v>
      </c>
      <c r="BY97" t="s">
        <v>99</v>
      </c>
      <c r="BZ97" t="s">
        <v>123</v>
      </c>
      <c r="CA97"/>
      <c r="CB97"/>
      <c r="CC97"/>
      <c r="CD97"/>
      <c r="CE97"/>
      <c r="CF97"/>
      <c r="CG97"/>
      <c r="CH97"/>
      <c r="CI97"/>
      <c r="CJ97"/>
      <c r="CK97"/>
      <c r="CL97"/>
      <c r="CM97"/>
      <c r="CN97"/>
      <c r="CO97"/>
      <c r="CP97"/>
      <c r="CQ97"/>
      <c r="CR97"/>
      <c r="CS97"/>
      <c r="CT97"/>
      <c r="CU97"/>
      <c r="CV97"/>
      <c r="CW97"/>
      <c r="CX97"/>
      <c r="CY97"/>
      <c r="CZ97"/>
      <c r="DA97"/>
      <c r="DB97"/>
      <c r="DC97"/>
      <c r="DD97"/>
    </row>
    <row r="98" spans="1:108" x14ac:dyDescent="0.25">
      <c r="A98" t="s">
        <v>99</v>
      </c>
      <c r="B98" t="s">
        <v>100</v>
      </c>
      <c r="C98" t="s">
        <v>5</v>
      </c>
      <c r="D98" t="s">
        <v>101</v>
      </c>
      <c r="E98" t="s">
        <v>102</v>
      </c>
      <c r="F98" t="s">
        <v>103</v>
      </c>
      <c r="G98" t="s">
        <v>104</v>
      </c>
      <c r="H98" t="s">
        <v>105</v>
      </c>
      <c r="I98" s="6" t="s">
        <v>106</v>
      </c>
      <c r="J98" s="6" t="s">
        <v>107</v>
      </c>
      <c r="K98" s="6" t="s">
        <v>277</v>
      </c>
      <c r="L98" s="6" t="s">
        <v>278</v>
      </c>
      <c r="M98" s="6" t="s">
        <v>279</v>
      </c>
      <c r="N98" s="6" t="s">
        <v>280</v>
      </c>
      <c r="O98" s="6" t="s">
        <v>112</v>
      </c>
      <c r="P98" s="6" t="s">
        <v>281</v>
      </c>
      <c r="Q98" s="6" t="s">
        <v>308</v>
      </c>
      <c r="R98" t="s">
        <v>112</v>
      </c>
      <c r="S98" t="s">
        <v>309</v>
      </c>
      <c r="T98"/>
      <c r="U98"/>
      <c r="V98" t="s">
        <v>116</v>
      </c>
      <c r="W98"/>
      <c r="X98"/>
      <c r="Y98" t="s">
        <v>116</v>
      </c>
      <c r="Z98"/>
      <c r="AA98"/>
      <c r="AB98" t="s">
        <v>116</v>
      </c>
      <c r="AC98"/>
      <c r="AD98"/>
      <c r="AE98" t="s">
        <v>116</v>
      </c>
      <c r="AF98" t="s">
        <v>117</v>
      </c>
      <c r="AG98" t="s">
        <v>118</v>
      </c>
      <c r="AH98" t="s">
        <v>119</v>
      </c>
      <c r="AI98" t="s">
        <v>120</v>
      </c>
      <c r="AJ98" t="s">
        <v>121</v>
      </c>
      <c r="AK98" t="s">
        <v>122</v>
      </c>
      <c r="AL98" t="s">
        <v>288</v>
      </c>
      <c r="AM98" t="s">
        <v>289</v>
      </c>
      <c r="AN98" t="s">
        <v>290</v>
      </c>
      <c r="AO98"/>
      <c r="AP98"/>
      <c r="AQ98" t="s">
        <v>116</v>
      </c>
      <c r="AR98"/>
      <c r="AS98"/>
      <c r="AT98" t="s">
        <v>116</v>
      </c>
      <c r="AU98"/>
      <c r="AV98"/>
      <c r="AW98" t="s">
        <v>116</v>
      </c>
      <c r="AX98"/>
      <c r="AY98"/>
      <c r="AZ98" t="s">
        <v>116</v>
      </c>
      <c r="BA98"/>
      <c r="BB98"/>
      <c r="BC98" t="s">
        <v>116</v>
      </c>
      <c r="BD98"/>
      <c r="BE98"/>
      <c r="BF98" t="s">
        <v>116</v>
      </c>
      <c r="BG98"/>
      <c r="BH98"/>
      <c r="BI98" t="s">
        <v>116</v>
      </c>
      <c r="BJ98"/>
      <c r="BK98"/>
      <c r="BL98" s="8">
        <v>0</v>
      </c>
      <c r="BM98" s="8">
        <v>629.29999999999995</v>
      </c>
      <c r="BN98" s="8">
        <v>629.29999999999995</v>
      </c>
      <c r="BO98" s="8">
        <v>0</v>
      </c>
      <c r="BP98" s="8">
        <v>-629.29999999999995</v>
      </c>
      <c r="BQ98" s="8">
        <v>0</v>
      </c>
      <c r="BR98" s="8">
        <v>0</v>
      </c>
      <c r="BS98" s="8">
        <v>0</v>
      </c>
      <c r="BT98" s="8">
        <v>0</v>
      </c>
      <c r="BU98" s="8">
        <v>0</v>
      </c>
      <c r="BV98" s="8">
        <v>0</v>
      </c>
      <c r="BW98" s="8">
        <v>0</v>
      </c>
      <c r="BX98" s="8">
        <v>0</v>
      </c>
      <c r="BY98" t="s">
        <v>99</v>
      </c>
      <c r="BZ98" t="s">
        <v>123</v>
      </c>
      <c r="CA98"/>
      <c r="CB98"/>
      <c r="CC98"/>
      <c r="CD98"/>
      <c r="CE98"/>
      <c r="CF98"/>
      <c r="CG98"/>
      <c r="CH98"/>
      <c r="CI98"/>
      <c r="CJ98"/>
      <c r="CK98"/>
      <c r="CL98"/>
      <c r="CM98"/>
      <c r="CN98"/>
      <c r="CO98"/>
      <c r="CP98"/>
      <c r="CQ98"/>
      <c r="CR98"/>
      <c r="CS98"/>
      <c r="CT98"/>
      <c r="CU98"/>
      <c r="CV98"/>
      <c r="CW98"/>
      <c r="CX98"/>
      <c r="CY98"/>
      <c r="CZ98"/>
      <c r="DA98"/>
      <c r="DB98"/>
      <c r="DC98"/>
      <c r="DD98"/>
    </row>
    <row r="99" spans="1:108" x14ac:dyDescent="0.25">
      <c r="A99" t="s">
        <v>99</v>
      </c>
      <c r="B99" t="s">
        <v>100</v>
      </c>
      <c r="C99" t="s">
        <v>5</v>
      </c>
      <c r="D99" t="s">
        <v>101</v>
      </c>
      <c r="E99" t="s">
        <v>102</v>
      </c>
      <c r="F99" t="s">
        <v>103</v>
      </c>
      <c r="G99" t="s">
        <v>104</v>
      </c>
      <c r="H99" t="s">
        <v>105</v>
      </c>
      <c r="I99" s="6" t="s">
        <v>106</v>
      </c>
      <c r="J99" s="6" t="s">
        <v>107</v>
      </c>
      <c r="K99" s="6" t="s">
        <v>277</v>
      </c>
      <c r="L99" s="6" t="s">
        <v>278</v>
      </c>
      <c r="M99" s="6" t="s">
        <v>279</v>
      </c>
      <c r="N99" s="6" t="s">
        <v>280</v>
      </c>
      <c r="O99" s="6" t="s">
        <v>112</v>
      </c>
      <c r="P99" s="6" t="s">
        <v>281</v>
      </c>
      <c r="Q99" s="6" t="s">
        <v>310</v>
      </c>
      <c r="R99" t="s">
        <v>112</v>
      </c>
      <c r="S99" t="s">
        <v>311</v>
      </c>
      <c r="T99"/>
      <c r="U99"/>
      <c r="V99" t="s">
        <v>116</v>
      </c>
      <c r="W99"/>
      <c r="X99"/>
      <c r="Y99" t="s">
        <v>116</v>
      </c>
      <c r="Z99"/>
      <c r="AA99"/>
      <c r="AB99" t="s">
        <v>116</v>
      </c>
      <c r="AC99"/>
      <c r="AD99"/>
      <c r="AE99" t="s">
        <v>116</v>
      </c>
      <c r="AF99" t="s">
        <v>117</v>
      </c>
      <c r="AG99" t="s">
        <v>118</v>
      </c>
      <c r="AH99" t="s">
        <v>119</v>
      </c>
      <c r="AI99" t="s">
        <v>120</v>
      </c>
      <c r="AJ99" t="s">
        <v>121</v>
      </c>
      <c r="AK99" t="s">
        <v>122</v>
      </c>
      <c r="AL99"/>
      <c r="AM99"/>
      <c r="AN99" t="s">
        <v>116</v>
      </c>
      <c r="AO99"/>
      <c r="AP99"/>
      <c r="AQ99" t="s">
        <v>116</v>
      </c>
      <c r="AR99"/>
      <c r="AS99"/>
      <c r="AT99" t="s">
        <v>116</v>
      </c>
      <c r="AU99"/>
      <c r="AV99"/>
      <c r="AW99" t="s">
        <v>116</v>
      </c>
      <c r="AX99"/>
      <c r="AY99"/>
      <c r="AZ99" t="s">
        <v>116</v>
      </c>
      <c r="BA99"/>
      <c r="BB99"/>
      <c r="BC99" t="s">
        <v>116</v>
      </c>
      <c r="BD99"/>
      <c r="BE99"/>
      <c r="BF99" t="s">
        <v>116</v>
      </c>
      <c r="BG99"/>
      <c r="BH99"/>
      <c r="BI99" t="s">
        <v>116</v>
      </c>
      <c r="BJ99"/>
      <c r="BK99"/>
      <c r="BL99" s="8">
        <v>1000</v>
      </c>
      <c r="BM99" s="8">
        <v>0</v>
      </c>
      <c r="BN99" s="8">
        <v>0</v>
      </c>
      <c r="BO99" s="8">
        <v>0</v>
      </c>
      <c r="BP99" s="8">
        <v>1000</v>
      </c>
      <c r="BQ99" s="8">
        <v>0</v>
      </c>
      <c r="BR99" s="8">
        <v>0</v>
      </c>
      <c r="BS99" s="8">
        <v>0</v>
      </c>
      <c r="BT99" s="8">
        <v>0</v>
      </c>
      <c r="BU99" s="8">
        <v>0</v>
      </c>
      <c r="BV99" s="8">
        <v>0</v>
      </c>
      <c r="BW99" s="8">
        <v>0</v>
      </c>
      <c r="BX99" s="8">
        <v>0</v>
      </c>
      <c r="BY99" t="s">
        <v>99</v>
      </c>
      <c r="BZ99" t="s">
        <v>123</v>
      </c>
      <c r="CA99"/>
      <c r="CB99"/>
      <c r="CC99"/>
      <c r="CD99"/>
      <c r="CE99"/>
      <c r="CF99"/>
      <c r="CG99"/>
      <c r="CH99"/>
      <c r="CI99"/>
      <c r="CJ99"/>
      <c r="CK99"/>
      <c r="CL99"/>
      <c r="CM99"/>
      <c r="CN99"/>
      <c r="CO99"/>
      <c r="CP99"/>
      <c r="CQ99"/>
      <c r="CR99"/>
      <c r="CS99"/>
      <c r="CT99"/>
      <c r="CU99"/>
      <c r="CV99"/>
      <c r="CW99"/>
      <c r="CX99"/>
      <c r="CY99"/>
      <c r="CZ99"/>
      <c r="DA99"/>
      <c r="DB99"/>
      <c r="DC99"/>
      <c r="DD99"/>
    </row>
    <row r="100" spans="1:108" x14ac:dyDescent="0.25">
      <c r="A100" t="s">
        <v>99</v>
      </c>
      <c r="B100" t="s">
        <v>100</v>
      </c>
      <c r="C100" t="s">
        <v>5</v>
      </c>
      <c r="D100" t="s">
        <v>101</v>
      </c>
      <c r="E100" t="s">
        <v>102</v>
      </c>
      <c r="F100" t="s">
        <v>103</v>
      </c>
      <c r="G100" t="s">
        <v>104</v>
      </c>
      <c r="H100" t="s">
        <v>105</v>
      </c>
      <c r="I100" s="6" t="s">
        <v>106</v>
      </c>
      <c r="J100" s="6" t="s">
        <v>107</v>
      </c>
      <c r="K100" s="6" t="s">
        <v>277</v>
      </c>
      <c r="L100" s="6" t="s">
        <v>278</v>
      </c>
      <c r="M100" s="6" t="s">
        <v>279</v>
      </c>
      <c r="N100" s="6" t="s">
        <v>280</v>
      </c>
      <c r="O100" s="6" t="s">
        <v>112</v>
      </c>
      <c r="P100" s="6" t="s">
        <v>281</v>
      </c>
      <c r="Q100" s="6" t="s">
        <v>310</v>
      </c>
      <c r="R100" t="s">
        <v>112</v>
      </c>
      <c r="S100" t="s">
        <v>311</v>
      </c>
      <c r="T100"/>
      <c r="U100"/>
      <c r="V100" t="s">
        <v>116</v>
      </c>
      <c r="W100"/>
      <c r="X100"/>
      <c r="Y100" t="s">
        <v>116</v>
      </c>
      <c r="Z100"/>
      <c r="AA100"/>
      <c r="AB100" t="s">
        <v>116</v>
      </c>
      <c r="AC100"/>
      <c r="AD100"/>
      <c r="AE100" t="s">
        <v>116</v>
      </c>
      <c r="AF100" t="s">
        <v>117</v>
      </c>
      <c r="AG100" t="s">
        <v>118</v>
      </c>
      <c r="AH100" t="s">
        <v>119</v>
      </c>
      <c r="AI100" t="s">
        <v>120</v>
      </c>
      <c r="AJ100" t="s">
        <v>121</v>
      </c>
      <c r="AK100" t="s">
        <v>122</v>
      </c>
      <c r="AL100" t="s">
        <v>312</v>
      </c>
      <c r="AM100" t="s">
        <v>313</v>
      </c>
      <c r="AN100" t="s">
        <v>314</v>
      </c>
      <c r="AO100"/>
      <c r="AP100"/>
      <c r="AQ100" t="s">
        <v>116</v>
      </c>
      <c r="AR100"/>
      <c r="AS100"/>
      <c r="AT100" t="s">
        <v>116</v>
      </c>
      <c r="AU100"/>
      <c r="AV100"/>
      <c r="AW100" t="s">
        <v>116</v>
      </c>
      <c r="AX100"/>
      <c r="AY100"/>
      <c r="AZ100" t="s">
        <v>116</v>
      </c>
      <c r="BA100"/>
      <c r="BB100"/>
      <c r="BC100" t="s">
        <v>116</v>
      </c>
      <c r="BD100"/>
      <c r="BE100"/>
      <c r="BF100" t="s">
        <v>116</v>
      </c>
      <c r="BG100"/>
      <c r="BH100"/>
      <c r="BI100" t="s">
        <v>116</v>
      </c>
      <c r="BJ100"/>
      <c r="BK100"/>
      <c r="BL100" s="8">
        <v>0</v>
      </c>
      <c r="BM100" s="8">
        <v>100</v>
      </c>
      <c r="BN100" s="8">
        <v>100</v>
      </c>
      <c r="BO100" s="8">
        <v>0</v>
      </c>
      <c r="BP100" s="8">
        <v>-100</v>
      </c>
      <c r="BQ100" s="8">
        <v>0</v>
      </c>
      <c r="BR100" s="8">
        <v>0</v>
      </c>
      <c r="BS100" s="8">
        <v>0</v>
      </c>
      <c r="BT100" s="8">
        <v>0</v>
      </c>
      <c r="BU100" s="8">
        <v>0</v>
      </c>
      <c r="BV100" s="8">
        <v>0</v>
      </c>
      <c r="BW100" s="8">
        <v>0</v>
      </c>
      <c r="BX100" s="8">
        <v>0</v>
      </c>
      <c r="BY100" t="s">
        <v>99</v>
      </c>
      <c r="BZ100" t="s">
        <v>123</v>
      </c>
      <c r="CA100"/>
      <c r="CB100"/>
      <c r="CC100"/>
      <c r="CD100"/>
      <c r="CE100"/>
      <c r="CF100"/>
      <c r="CG100"/>
      <c r="CH100"/>
      <c r="CI100"/>
      <c r="CJ100"/>
      <c r="CK100"/>
      <c r="CL100"/>
      <c r="CM100"/>
      <c r="CN100"/>
      <c r="CO100"/>
      <c r="CP100"/>
      <c r="CQ100"/>
      <c r="CR100"/>
      <c r="CS100"/>
      <c r="CT100"/>
      <c r="CU100"/>
      <c r="CV100"/>
      <c r="CW100"/>
      <c r="CX100"/>
      <c r="CY100"/>
      <c r="CZ100"/>
      <c r="DA100"/>
      <c r="DB100"/>
      <c r="DC100"/>
      <c r="DD100"/>
    </row>
    <row r="101" spans="1:108" x14ac:dyDescent="0.25">
      <c r="A101" t="s">
        <v>99</v>
      </c>
      <c r="B101" t="s">
        <v>100</v>
      </c>
      <c r="C101" t="s">
        <v>5</v>
      </c>
      <c r="D101" t="s">
        <v>101</v>
      </c>
      <c r="E101" t="s">
        <v>102</v>
      </c>
      <c r="F101" t="s">
        <v>103</v>
      </c>
      <c r="G101" t="s">
        <v>104</v>
      </c>
      <c r="H101" t="s">
        <v>105</v>
      </c>
      <c r="I101" s="6" t="s">
        <v>106</v>
      </c>
      <c r="J101" s="6" t="s">
        <v>107</v>
      </c>
      <c r="K101" s="6" t="s">
        <v>277</v>
      </c>
      <c r="L101" s="6" t="s">
        <v>278</v>
      </c>
      <c r="M101" s="6" t="s">
        <v>279</v>
      </c>
      <c r="N101" s="6" t="s">
        <v>280</v>
      </c>
      <c r="O101" s="6" t="s">
        <v>112</v>
      </c>
      <c r="P101" s="6" t="s">
        <v>281</v>
      </c>
      <c r="Q101" s="6" t="s">
        <v>315</v>
      </c>
      <c r="R101" t="s">
        <v>112</v>
      </c>
      <c r="S101" t="s">
        <v>316</v>
      </c>
      <c r="T101"/>
      <c r="U101"/>
      <c r="V101" t="s">
        <v>116</v>
      </c>
      <c r="W101"/>
      <c r="X101"/>
      <c r="Y101" t="s">
        <v>116</v>
      </c>
      <c r="Z101"/>
      <c r="AA101"/>
      <c r="AB101" t="s">
        <v>116</v>
      </c>
      <c r="AC101"/>
      <c r="AD101"/>
      <c r="AE101" t="s">
        <v>116</v>
      </c>
      <c r="AF101" t="s">
        <v>117</v>
      </c>
      <c r="AG101" t="s">
        <v>118</v>
      </c>
      <c r="AH101" t="s">
        <v>119</v>
      </c>
      <c r="AI101" t="s">
        <v>120</v>
      </c>
      <c r="AJ101" t="s">
        <v>121</v>
      </c>
      <c r="AK101" t="s">
        <v>122</v>
      </c>
      <c r="AL101"/>
      <c r="AM101"/>
      <c r="AN101" t="s">
        <v>116</v>
      </c>
      <c r="AO101"/>
      <c r="AP101"/>
      <c r="AQ101" t="s">
        <v>116</v>
      </c>
      <c r="AR101"/>
      <c r="AS101"/>
      <c r="AT101" t="s">
        <v>116</v>
      </c>
      <c r="AU101"/>
      <c r="AV101"/>
      <c r="AW101" t="s">
        <v>116</v>
      </c>
      <c r="AX101"/>
      <c r="AY101"/>
      <c r="AZ101" t="s">
        <v>116</v>
      </c>
      <c r="BA101"/>
      <c r="BB101"/>
      <c r="BC101" t="s">
        <v>116</v>
      </c>
      <c r="BD101"/>
      <c r="BE101"/>
      <c r="BF101" t="s">
        <v>116</v>
      </c>
      <c r="BG101"/>
      <c r="BH101"/>
      <c r="BI101" t="s">
        <v>116</v>
      </c>
      <c r="BJ101"/>
      <c r="BK101"/>
      <c r="BL101" s="8">
        <v>8000</v>
      </c>
      <c r="BM101" s="8">
        <v>0</v>
      </c>
      <c r="BN101" s="8">
        <v>0</v>
      </c>
      <c r="BO101" s="8">
        <v>0</v>
      </c>
      <c r="BP101" s="8">
        <v>8000</v>
      </c>
      <c r="BQ101" s="8">
        <v>0</v>
      </c>
      <c r="BR101" s="8">
        <v>0</v>
      </c>
      <c r="BS101" s="8">
        <v>0</v>
      </c>
      <c r="BT101" s="8">
        <v>0</v>
      </c>
      <c r="BU101" s="8">
        <v>0</v>
      </c>
      <c r="BV101" s="8">
        <v>0</v>
      </c>
      <c r="BW101" s="8">
        <v>0</v>
      </c>
      <c r="BX101" s="8">
        <v>0</v>
      </c>
      <c r="BY101" t="s">
        <v>99</v>
      </c>
      <c r="BZ101" t="s">
        <v>123</v>
      </c>
      <c r="CA101"/>
      <c r="CB101"/>
      <c r="CC101"/>
      <c r="CD101"/>
      <c r="CE101"/>
      <c r="CF101"/>
      <c r="CG101"/>
      <c r="CH101"/>
      <c r="CI101"/>
      <c r="CJ101"/>
      <c r="CK101"/>
      <c r="CL101"/>
      <c r="CM101"/>
      <c r="CN101"/>
      <c r="CO101"/>
      <c r="CP101"/>
      <c r="CQ101"/>
      <c r="CR101"/>
      <c r="CS101"/>
      <c r="CT101"/>
      <c r="CU101"/>
      <c r="CV101"/>
      <c r="CW101"/>
      <c r="CX101"/>
      <c r="CY101"/>
      <c r="CZ101"/>
      <c r="DA101"/>
      <c r="DB101"/>
      <c r="DC101"/>
      <c r="DD101"/>
    </row>
    <row r="102" spans="1:108" x14ac:dyDescent="0.25">
      <c r="A102" t="s">
        <v>99</v>
      </c>
      <c r="B102" t="s">
        <v>100</v>
      </c>
      <c r="C102" t="s">
        <v>5</v>
      </c>
      <c r="D102" t="s">
        <v>101</v>
      </c>
      <c r="E102" t="s">
        <v>102</v>
      </c>
      <c r="F102" t="s">
        <v>103</v>
      </c>
      <c r="G102" t="s">
        <v>104</v>
      </c>
      <c r="H102" t="s">
        <v>105</v>
      </c>
      <c r="I102" s="6" t="s">
        <v>106</v>
      </c>
      <c r="J102" s="6" t="s">
        <v>107</v>
      </c>
      <c r="K102" s="6" t="s">
        <v>277</v>
      </c>
      <c r="L102" s="6" t="s">
        <v>278</v>
      </c>
      <c r="M102" s="6" t="s">
        <v>279</v>
      </c>
      <c r="N102" s="6" t="s">
        <v>280</v>
      </c>
      <c r="O102" s="6" t="s">
        <v>112</v>
      </c>
      <c r="P102" s="6" t="s">
        <v>281</v>
      </c>
      <c r="Q102" s="6" t="s">
        <v>315</v>
      </c>
      <c r="R102" t="s">
        <v>112</v>
      </c>
      <c r="S102" t="s">
        <v>316</v>
      </c>
      <c r="T102"/>
      <c r="U102"/>
      <c r="V102" t="s">
        <v>116</v>
      </c>
      <c r="W102"/>
      <c r="X102"/>
      <c r="Y102" t="s">
        <v>116</v>
      </c>
      <c r="Z102"/>
      <c r="AA102"/>
      <c r="AB102" t="s">
        <v>116</v>
      </c>
      <c r="AC102"/>
      <c r="AD102"/>
      <c r="AE102" t="s">
        <v>116</v>
      </c>
      <c r="AF102" t="s">
        <v>117</v>
      </c>
      <c r="AG102" t="s">
        <v>118</v>
      </c>
      <c r="AH102" t="s">
        <v>119</v>
      </c>
      <c r="AI102" t="s">
        <v>120</v>
      </c>
      <c r="AJ102" t="s">
        <v>121</v>
      </c>
      <c r="AK102" t="s">
        <v>122</v>
      </c>
      <c r="AL102" t="s">
        <v>145</v>
      </c>
      <c r="AM102" t="s">
        <v>146</v>
      </c>
      <c r="AN102" t="s">
        <v>147</v>
      </c>
      <c r="AO102"/>
      <c r="AP102"/>
      <c r="AQ102" t="s">
        <v>116</v>
      </c>
      <c r="AR102"/>
      <c r="AS102"/>
      <c r="AT102" t="s">
        <v>116</v>
      </c>
      <c r="AU102"/>
      <c r="AV102"/>
      <c r="AW102" t="s">
        <v>116</v>
      </c>
      <c r="AX102"/>
      <c r="AY102"/>
      <c r="AZ102" t="s">
        <v>116</v>
      </c>
      <c r="BA102"/>
      <c r="BB102"/>
      <c r="BC102" t="s">
        <v>116</v>
      </c>
      <c r="BD102"/>
      <c r="BE102"/>
      <c r="BF102" t="s">
        <v>116</v>
      </c>
      <c r="BG102"/>
      <c r="BH102"/>
      <c r="BI102" t="s">
        <v>116</v>
      </c>
      <c r="BJ102"/>
      <c r="BK102"/>
      <c r="BL102" s="8">
        <v>0</v>
      </c>
      <c r="BM102" s="8">
        <v>5365.47</v>
      </c>
      <c r="BN102" s="8">
        <v>5365.47</v>
      </c>
      <c r="BO102" s="8">
        <v>0</v>
      </c>
      <c r="BP102" s="8">
        <v>-5365.47</v>
      </c>
      <c r="BQ102" s="8">
        <v>0</v>
      </c>
      <c r="BR102" s="8">
        <v>0</v>
      </c>
      <c r="BS102" s="8">
        <v>0</v>
      </c>
      <c r="BT102" s="8">
        <v>0</v>
      </c>
      <c r="BU102" s="8">
        <v>0</v>
      </c>
      <c r="BV102" s="8">
        <v>0</v>
      </c>
      <c r="BW102" s="8">
        <v>0</v>
      </c>
      <c r="BX102" s="8">
        <v>0</v>
      </c>
      <c r="BY102" t="s">
        <v>99</v>
      </c>
      <c r="BZ102" t="s">
        <v>123</v>
      </c>
      <c r="CA102"/>
      <c r="CB102"/>
      <c r="CC102"/>
      <c r="CD102"/>
      <c r="CE102"/>
      <c r="CF102"/>
      <c r="CG102"/>
      <c r="CH102"/>
      <c r="CI102"/>
      <c r="CJ102"/>
      <c r="CK102"/>
      <c r="CL102"/>
      <c r="CM102"/>
      <c r="CN102"/>
      <c r="CO102"/>
      <c r="CP102"/>
      <c r="CQ102"/>
      <c r="CR102"/>
      <c r="CS102"/>
      <c r="CT102"/>
      <c r="CU102"/>
      <c r="CV102"/>
      <c r="CW102"/>
      <c r="CX102"/>
      <c r="CY102"/>
      <c r="CZ102"/>
      <c r="DA102"/>
      <c r="DB102"/>
      <c r="DC102"/>
      <c r="DD102"/>
    </row>
    <row r="103" spans="1:108" x14ac:dyDescent="0.25">
      <c r="A103" t="s">
        <v>99</v>
      </c>
      <c r="B103" t="s">
        <v>100</v>
      </c>
      <c r="C103" t="s">
        <v>5</v>
      </c>
      <c r="D103" t="s">
        <v>101</v>
      </c>
      <c r="E103" t="s">
        <v>102</v>
      </c>
      <c r="F103" t="s">
        <v>103</v>
      </c>
      <c r="G103" t="s">
        <v>104</v>
      </c>
      <c r="H103" t="s">
        <v>105</v>
      </c>
      <c r="I103" s="6" t="s">
        <v>106</v>
      </c>
      <c r="J103" s="6" t="s">
        <v>107</v>
      </c>
      <c r="K103" s="6" t="s">
        <v>277</v>
      </c>
      <c r="L103" s="6" t="s">
        <v>278</v>
      </c>
      <c r="M103" s="6" t="s">
        <v>279</v>
      </c>
      <c r="N103" s="6" t="s">
        <v>280</v>
      </c>
      <c r="O103" s="6" t="s">
        <v>112</v>
      </c>
      <c r="P103" s="6" t="s">
        <v>281</v>
      </c>
      <c r="Q103" s="6" t="s">
        <v>315</v>
      </c>
      <c r="R103" t="s">
        <v>112</v>
      </c>
      <c r="S103" t="s">
        <v>316</v>
      </c>
      <c r="T103"/>
      <c r="U103"/>
      <c r="V103" t="s">
        <v>116</v>
      </c>
      <c r="W103"/>
      <c r="X103"/>
      <c r="Y103" t="s">
        <v>116</v>
      </c>
      <c r="Z103"/>
      <c r="AA103"/>
      <c r="AB103" t="s">
        <v>116</v>
      </c>
      <c r="AC103"/>
      <c r="AD103"/>
      <c r="AE103" t="s">
        <v>116</v>
      </c>
      <c r="AF103" t="s">
        <v>117</v>
      </c>
      <c r="AG103" t="s">
        <v>118</v>
      </c>
      <c r="AH103" t="s">
        <v>119</v>
      </c>
      <c r="AI103" t="s">
        <v>120</v>
      </c>
      <c r="AJ103" t="s">
        <v>121</v>
      </c>
      <c r="AK103" t="s">
        <v>122</v>
      </c>
      <c r="AL103" t="s">
        <v>164</v>
      </c>
      <c r="AM103" t="s">
        <v>165</v>
      </c>
      <c r="AN103" t="s">
        <v>166</v>
      </c>
      <c r="AO103"/>
      <c r="AP103"/>
      <c r="AQ103" t="s">
        <v>116</v>
      </c>
      <c r="AR103"/>
      <c r="AS103"/>
      <c r="AT103" t="s">
        <v>116</v>
      </c>
      <c r="AU103"/>
      <c r="AV103"/>
      <c r="AW103" t="s">
        <v>116</v>
      </c>
      <c r="AX103"/>
      <c r="AY103"/>
      <c r="AZ103" t="s">
        <v>116</v>
      </c>
      <c r="BA103"/>
      <c r="BB103"/>
      <c r="BC103" t="s">
        <v>116</v>
      </c>
      <c r="BD103"/>
      <c r="BE103"/>
      <c r="BF103" t="s">
        <v>116</v>
      </c>
      <c r="BG103"/>
      <c r="BH103"/>
      <c r="BI103" t="s">
        <v>116</v>
      </c>
      <c r="BJ103"/>
      <c r="BK103"/>
      <c r="BL103" s="8">
        <v>0</v>
      </c>
      <c r="BM103" s="8">
        <v>1339.68</v>
      </c>
      <c r="BN103" s="8">
        <v>1339.68</v>
      </c>
      <c r="BO103" s="8">
        <v>0</v>
      </c>
      <c r="BP103" s="8">
        <v>-1339.68</v>
      </c>
      <c r="BQ103" s="8">
        <v>0</v>
      </c>
      <c r="BR103" s="8">
        <v>0</v>
      </c>
      <c r="BS103" s="8">
        <v>0</v>
      </c>
      <c r="BT103" s="8">
        <v>0</v>
      </c>
      <c r="BU103" s="8">
        <v>0</v>
      </c>
      <c r="BV103" s="8">
        <v>0</v>
      </c>
      <c r="BW103" s="8">
        <v>0</v>
      </c>
      <c r="BX103" s="8">
        <v>0</v>
      </c>
      <c r="BY103" t="s">
        <v>99</v>
      </c>
      <c r="BZ103" t="s">
        <v>123</v>
      </c>
      <c r="CA103"/>
      <c r="CB103"/>
      <c r="CC103"/>
      <c r="CD103"/>
      <c r="CE103"/>
      <c r="CF103"/>
      <c r="CG103"/>
      <c r="CH103"/>
      <c r="CI103"/>
      <c r="CJ103"/>
      <c r="CK103"/>
      <c r="CL103"/>
      <c r="CM103"/>
      <c r="CN103"/>
      <c r="CO103"/>
      <c r="CP103"/>
      <c r="CQ103"/>
      <c r="CR103"/>
      <c r="CS103"/>
      <c r="CT103"/>
      <c r="CU103"/>
      <c r="CV103"/>
      <c r="CW103"/>
      <c r="CX103"/>
      <c r="CY103"/>
      <c r="CZ103"/>
      <c r="DA103"/>
      <c r="DB103"/>
      <c r="DC103"/>
      <c r="DD103"/>
    </row>
    <row r="104" spans="1:108" x14ac:dyDescent="0.25">
      <c r="A104" t="s">
        <v>99</v>
      </c>
      <c r="B104" t="s">
        <v>100</v>
      </c>
      <c r="C104" t="s">
        <v>5</v>
      </c>
      <c r="D104" t="s">
        <v>101</v>
      </c>
      <c r="E104" t="s">
        <v>102</v>
      </c>
      <c r="F104" t="s">
        <v>103</v>
      </c>
      <c r="G104" t="s">
        <v>104</v>
      </c>
      <c r="H104" t="s">
        <v>105</v>
      </c>
      <c r="I104" s="6" t="s">
        <v>106</v>
      </c>
      <c r="J104" s="6" t="s">
        <v>107</v>
      </c>
      <c r="K104" s="6" t="s">
        <v>277</v>
      </c>
      <c r="L104" s="6" t="s">
        <v>278</v>
      </c>
      <c r="M104" s="6" t="s">
        <v>279</v>
      </c>
      <c r="N104" s="6" t="s">
        <v>280</v>
      </c>
      <c r="O104" s="6" t="s">
        <v>112</v>
      </c>
      <c r="P104" s="6" t="s">
        <v>281</v>
      </c>
      <c r="Q104" s="6" t="s">
        <v>317</v>
      </c>
      <c r="R104" t="s">
        <v>112</v>
      </c>
      <c r="S104" t="s">
        <v>318</v>
      </c>
      <c r="T104"/>
      <c r="U104"/>
      <c r="V104" t="s">
        <v>116</v>
      </c>
      <c r="W104"/>
      <c r="X104"/>
      <c r="Y104" t="s">
        <v>116</v>
      </c>
      <c r="Z104"/>
      <c r="AA104"/>
      <c r="AB104" t="s">
        <v>116</v>
      </c>
      <c r="AC104"/>
      <c r="AD104"/>
      <c r="AE104" t="s">
        <v>116</v>
      </c>
      <c r="AF104" t="s">
        <v>117</v>
      </c>
      <c r="AG104" t="s">
        <v>118</v>
      </c>
      <c r="AH104" t="s">
        <v>119</v>
      </c>
      <c r="AI104" t="s">
        <v>120</v>
      </c>
      <c r="AJ104" t="s">
        <v>121</v>
      </c>
      <c r="AK104" t="s">
        <v>122</v>
      </c>
      <c r="AL104"/>
      <c r="AM104"/>
      <c r="AN104" t="s">
        <v>116</v>
      </c>
      <c r="AO104"/>
      <c r="AP104"/>
      <c r="AQ104" t="s">
        <v>116</v>
      </c>
      <c r="AR104"/>
      <c r="AS104"/>
      <c r="AT104" t="s">
        <v>116</v>
      </c>
      <c r="AU104"/>
      <c r="AV104"/>
      <c r="AW104" t="s">
        <v>116</v>
      </c>
      <c r="AX104"/>
      <c r="AY104"/>
      <c r="AZ104" t="s">
        <v>116</v>
      </c>
      <c r="BA104"/>
      <c r="BB104"/>
      <c r="BC104" t="s">
        <v>116</v>
      </c>
      <c r="BD104"/>
      <c r="BE104"/>
      <c r="BF104" t="s">
        <v>116</v>
      </c>
      <c r="BG104"/>
      <c r="BH104"/>
      <c r="BI104" t="s">
        <v>116</v>
      </c>
      <c r="BJ104"/>
      <c r="BK104"/>
      <c r="BL104" s="8">
        <v>1000</v>
      </c>
      <c r="BM104" s="8">
        <v>0</v>
      </c>
      <c r="BN104" s="8">
        <v>0</v>
      </c>
      <c r="BO104" s="8">
        <v>0</v>
      </c>
      <c r="BP104" s="8">
        <v>1000</v>
      </c>
      <c r="BQ104" s="8">
        <v>0</v>
      </c>
      <c r="BR104" s="8">
        <v>0</v>
      </c>
      <c r="BS104" s="8">
        <v>0</v>
      </c>
      <c r="BT104" s="8">
        <v>0</v>
      </c>
      <c r="BU104" s="8">
        <v>0</v>
      </c>
      <c r="BV104" s="8">
        <v>0</v>
      </c>
      <c r="BW104" s="8">
        <v>0</v>
      </c>
      <c r="BX104" s="8">
        <v>0</v>
      </c>
      <c r="BY104" t="s">
        <v>99</v>
      </c>
      <c r="BZ104" t="s">
        <v>123</v>
      </c>
      <c r="CA104"/>
      <c r="CB104"/>
      <c r="CC104"/>
      <c r="CD104"/>
      <c r="CE104"/>
      <c r="CF104"/>
      <c r="CG104"/>
      <c r="CH104"/>
      <c r="CI104"/>
      <c r="CJ104"/>
      <c r="CK104"/>
      <c r="CL104"/>
      <c r="CM104"/>
      <c r="CN104"/>
      <c r="CO104"/>
      <c r="CP104"/>
      <c r="CQ104"/>
      <c r="CR104"/>
      <c r="CS104"/>
      <c r="CT104"/>
      <c r="CU104"/>
      <c r="CV104"/>
      <c r="CW104"/>
      <c r="CX104"/>
      <c r="CY104"/>
      <c r="CZ104"/>
      <c r="DA104"/>
      <c r="DB104"/>
      <c r="DC104"/>
      <c r="DD104"/>
    </row>
    <row r="105" spans="1:108" x14ac:dyDescent="0.25">
      <c r="A105" t="s">
        <v>99</v>
      </c>
      <c r="B105" t="s">
        <v>100</v>
      </c>
      <c r="C105" t="s">
        <v>5</v>
      </c>
      <c r="D105" t="s">
        <v>101</v>
      </c>
      <c r="E105" t="s">
        <v>102</v>
      </c>
      <c r="F105" t="s">
        <v>103</v>
      </c>
      <c r="G105" t="s">
        <v>104</v>
      </c>
      <c r="H105" t="s">
        <v>105</v>
      </c>
      <c r="I105" s="6" t="s">
        <v>106</v>
      </c>
      <c r="J105" s="6" t="s">
        <v>107</v>
      </c>
      <c r="K105" s="6" t="s">
        <v>277</v>
      </c>
      <c r="L105" s="6" t="s">
        <v>278</v>
      </c>
      <c r="M105" s="6" t="s">
        <v>279</v>
      </c>
      <c r="N105" s="6" t="s">
        <v>280</v>
      </c>
      <c r="O105" s="6" t="s">
        <v>112</v>
      </c>
      <c r="P105" s="6" t="s">
        <v>281</v>
      </c>
      <c r="Q105" s="6" t="s">
        <v>317</v>
      </c>
      <c r="R105" t="s">
        <v>112</v>
      </c>
      <c r="S105" t="s">
        <v>318</v>
      </c>
      <c r="T105"/>
      <c r="U105"/>
      <c r="V105" t="s">
        <v>116</v>
      </c>
      <c r="W105"/>
      <c r="X105"/>
      <c r="Y105" t="s">
        <v>116</v>
      </c>
      <c r="Z105"/>
      <c r="AA105"/>
      <c r="AB105" t="s">
        <v>116</v>
      </c>
      <c r="AC105"/>
      <c r="AD105"/>
      <c r="AE105" t="s">
        <v>116</v>
      </c>
      <c r="AF105" t="s">
        <v>117</v>
      </c>
      <c r="AG105" t="s">
        <v>118</v>
      </c>
      <c r="AH105" t="s">
        <v>119</v>
      </c>
      <c r="AI105" t="s">
        <v>120</v>
      </c>
      <c r="AJ105" t="s">
        <v>121</v>
      </c>
      <c r="AK105" t="s">
        <v>122</v>
      </c>
      <c r="AL105" t="s">
        <v>319</v>
      </c>
      <c r="AM105" t="s">
        <v>320</v>
      </c>
      <c r="AN105" t="s">
        <v>321</v>
      </c>
      <c r="AO105"/>
      <c r="AP105"/>
      <c r="AQ105" t="s">
        <v>116</v>
      </c>
      <c r="AR105"/>
      <c r="AS105"/>
      <c r="AT105" t="s">
        <v>116</v>
      </c>
      <c r="AU105"/>
      <c r="AV105"/>
      <c r="AW105" t="s">
        <v>116</v>
      </c>
      <c r="AX105"/>
      <c r="AY105"/>
      <c r="AZ105" t="s">
        <v>116</v>
      </c>
      <c r="BA105"/>
      <c r="BB105"/>
      <c r="BC105" t="s">
        <v>116</v>
      </c>
      <c r="BD105"/>
      <c r="BE105"/>
      <c r="BF105" t="s">
        <v>116</v>
      </c>
      <c r="BG105"/>
      <c r="BH105"/>
      <c r="BI105" t="s">
        <v>116</v>
      </c>
      <c r="BJ105"/>
      <c r="BK105"/>
      <c r="BL105" s="8">
        <v>0</v>
      </c>
      <c r="BM105" s="8">
        <v>825.21</v>
      </c>
      <c r="BN105" s="8">
        <v>825.21</v>
      </c>
      <c r="BO105" s="8">
        <v>0</v>
      </c>
      <c r="BP105" s="8">
        <v>-825.21</v>
      </c>
      <c r="BQ105" s="8">
        <v>0</v>
      </c>
      <c r="BR105" s="8">
        <v>0</v>
      </c>
      <c r="BS105" s="8">
        <v>0</v>
      </c>
      <c r="BT105" s="8">
        <v>0</v>
      </c>
      <c r="BU105" s="8">
        <v>0</v>
      </c>
      <c r="BV105" s="8">
        <v>0</v>
      </c>
      <c r="BW105" s="8">
        <v>0</v>
      </c>
      <c r="BX105" s="8">
        <v>0</v>
      </c>
      <c r="BY105" t="s">
        <v>99</v>
      </c>
      <c r="BZ105" t="s">
        <v>123</v>
      </c>
      <c r="CA105"/>
      <c r="CB105"/>
      <c r="CC105"/>
      <c r="CD105"/>
      <c r="CE105"/>
      <c r="CF105"/>
      <c r="CG105"/>
      <c r="CH105"/>
      <c r="CI105"/>
      <c r="CJ105"/>
      <c r="CK105"/>
      <c r="CL105"/>
      <c r="CM105"/>
      <c r="CN105"/>
      <c r="CO105"/>
      <c r="CP105"/>
      <c r="CQ105"/>
      <c r="CR105"/>
      <c r="CS105"/>
      <c r="CT105"/>
      <c r="CU105"/>
      <c r="CV105"/>
      <c r="CW105"/>
      <c r="CX105"/>
      <c r="CY105"/>
      <c r="CZ105"/>
      <c r="DA105"/>
      <c r="DB105"/>
      <c r="DC105"/>
      <c r="DD105"/>
    </row>
    <row r="106" spans="1:108" x14ac:dyDescent="0.25">
      <c r="A106" t="s">
        <v>99</v>
      </c>
      <c r="B106" t="s">
        <v>100</v>
      </c>
      <c r="C106" t="s">
        <v>5</v>
      </c>
      <c r="D106" t="s">
        <v>101</v>
      </c>
      <c r="E106" t="s">
        <v>102</v>
      </c>
      <c r="F106" t="s">
        <v>103</v>
      </c>
      <c r="G106" t="s">
        <v>104</v>
      </c>
      <c r="H106" t="s">
        <v>105</v>
      </c>
      <c r="I106" s="6" t="s">
        <v>106</v>
      </c>
      <c r="J106" s="6" t="s">
        <v>107</v>
      </c>
      <c r="K106" s="6" t="s">
        <v>277</v>
      </c>
      <c r="L106" s="6" t="s">
        <v>278</v>
      </c>
      <c r="M106" s="6" t="s">
        <v>279</v>
      </c>
      <c r="N106" s="6" t="s">
        <v>280</v>
      </c>
      <c r="O106" s="6" t="s">
        <v>112</v>
      </c>
      <c r="P106" s="6" t="s">
        <v>281</v>
      </c>
      <c r="Q106" s="6" t="s">
        <v>322</v>
      </c>
      <c r="R106" t="s">
        <v>112</v>
      </c>
      <c r="S106" t="s">
        <v>323</v>
      </c>
      <c r="T106"/>
      <c r="U106"/>
      <c r="V106" t="s">
        <v>116</v>
      </c>
      <c r="W106"/>
      <c r="X106"/>
      <c r="Y106" t="s">
        <v>116</v>
      </c>
      <c r="Z106"/>
      <c r="AA106"/>
      <c r="AB106" t="s">
        <v>116</v>
      </c>
      <c r="AC106"/>
      <c r="AD106"/>
      <c r="AE106" t="s">
        <v>116</v>
      </c>
      <c r="AF106" t="s">
        <v>117</v>
      </c>
      <c r="AG106" t="s">
        <v>118</v>
      </c>
      <c r="AH106" t="s">
        <v>119</v>
      </c>
      <c r="AI106" t="s">
        <v>120</v>
      </c>
      <c r="AJ106" t="s">
        <v>121</v>
      </c>
      <c r="AK106" t="s">
        <v>122</v>
      </c>
      <c r="AL106"/>
      <c r="AM106"/>
      <c r="AN106" t="s">
        <v>116</v>
      </c>
      <c r="AO106"/>
      <c r="AP106"/>
      <c r="AQ106" t="s">
        <v>116</v>
      </c>
      <c r="AR106"/>
      <c r="AS106"/>
      <c r="AT106" t="s">
        <v>116</v>
      </c>
      <c r="AU106"/>
      <c r="AV106"/>
      <c r="AW106" t="s">
        <v>116</v>
      </c>
      <c r="AX106"/>
      <c r="AY106"/>
      <c r="AZ106" t="s">
        <v>116</v>
      </c>
      <c r="BA106"/>
      <c r="BB106"/>
      <c r="BC106" t="s">
        <v>116</v>
      </c>
      <c r="BD106"/>
      <c r="BE106"/>
      <c r="BF106" t="s">
        <v>116</v>
      </c>
      <c r="BG106"/>
      <c r="BH106"/>
      <c r="BI106" t="s">
        <v>116</v>
      </c>
      <c r="BJ106"/>
      <c r="BK106"/>
      <c r="BL106" s="8">
        <v>1000</v>
      </c>
      <c r="BM106" s="8">
        <v>0</v>
      </c>
      <c r="BN106" s="8">
        <v>0</v>
      </c>
      <c r="BO106" s="8">
        <v>0</v>
      </c>
      <c r="BP106" s="8">
        <v>1000</v>
      </c>
      <c r="BQ106" s="8">
        <v>0</v>
      </c>
      <c r="BR106" s="8">
        <v>0</v>
      </c>
      <c r="BS106" s="8">
        <v>0</v>
      </c>
      <c r="BT106" s="8">
        <v>0</v>
      </c>
      <c r="BU106" s="8">
        <v>0</v>
      </c>
      <c r="BV106" s="8">
        <v>0</v>
      </c>
      <c r="BW106" s="8">
        <v>0</v>
      </c>
      <c r="BX106" s="8">
        <v>0</v>
      </c>
      <c r="BY106" t="s">
        <v>99</v>
      </c>
      <c r="BZ106" t="s">
        <v>123</v>
      </c>
      <c r="CA106"/>
      <c r="CB106"/>
      <c r="CC106"/>
      <c r="CD106"/>
      <c r="CE106"/>
      <c r="CF106"/>
      <c r="CG106"/>
      <c r="CH106"/>
      <c r="CI106"/>
      <c r="CJ106"/>
      <c r="CK106"/>
      <c r="CL106"/>
      <c r="CM106"/>
      <c r="CN106"/>
      <c r="CO106"/>
      <c r="CP106"/>
      <c r="CQ106"/>
      <c r="CR106"/>
      <c r="CS106"/>
      <c r="CT106"/>
      <c r="CU106"/>
      <c r="CV106"/>
      <c r="CW106"/>
      <c r="CX106"/>
      <c r="CY106"/>
      <c r="CZ106"/>
      <c r="DA106"/>
      <c r="DB106"/>
      <c r="DC106"/>
      <c r="DD106"/>
    </row>
    <row r="107" spans="1:108" x14ac:dyDescent="0.25">
      <c r="A107" t="s">
        <v>99</v>
      </c>
      <c r="B107" t="s">
        <v>100</v>
      </c>
      <c r="C107" t="s">
        <v>5</v>
      </c>
      <c r="D107" t="s">
        <v>101</v>
      </c>
      <c r="E107" t="s">
        <v>102</v>
      </c>
      <c r="F107" t="s">
        <v>103</v>
      </c>
      <c r="G107" t="s">
        <v>104</v>
      </c>
      <c r="H107" t="s">
        <v>105</v>
      </c>
      <c r="I107" s="6" t="s">
        <v>106</v>
      </c>
      <c r="J107" s="6" t="s">
        <v>107</v>
      </c>
      <c r="K107" s="6" t="s">
        <v>277</v>
      </c>
      <c r="L107" s="6" t="s">
        <v>278</v>
      </c>
      <c r="M107" s="6" t="s">
        <v>279</v>
      </c>
      <c r="N107" s="6" t="s">
        <v>280</v>
      </c>
      <c r="O107" s="6" t="s">
        <v>112</v>
      </c>
      <c r="P107" s="6" t="s">
        <v>281</v>
      </c>
      <c r="Q107" s="6" t="s">
        <v>322</v>
      </c>
      <c r="R107" t="s">
        <v>112</v>
      </c>
      <c r="S107" t="s">
        <v>323</v>
      </c>
      <c r="T107"/>
      <c r="U107"/>
      <c r="V107" t="s">
        <v>116</v>
      </c>
      <c r="W107"/>
      <c r="X107"/>
      <c r="Y107" t="s">
        <v>116</v>
      </c>
      <c r="Z107"/>
      <c r="AA107"/>
      <c r="AB107" t="s">
        <v>116</v>
      </c>
      <c r="AC107"/>
      <c r="AD107"/>
      <c r="AE107" t="s">
        <v>116</v>
      </c>
      <c r="AF107" t="s">
        <v>117</v>
      </c>
      <c r="AG107" t="s">
        <v>118</v>
      </c>
      <c r="AH107" t="s">
        <v>119</v>
      </c>
      <c r="AI107" t="s">
        <v>120</v>
      </c>
      <c r="AJ107" t="s">
        <v>121</v>
      </c>
      <c r="AK107" t="s">
        <v>122</v>
      </c>
      <c r="AL107" t="s">
        <v>312</v>
      </c>
      <c r="AM107" t="s">
        <v>313</v>
      </c>
      <c r="AN107" t="s">
        <v>314</v>
      </c>
      <c r="AO107"/>
      <c r="AP107"/>
      <c r="AQ107" t="s">
        <v>116</v>
      </c>
      <c r="AR107"/>
      <c r="AS107"/>
      <c r="AT107" t="s">
        <v>116</v>
      </c>
      <c r="AU107"/>
      <c r="AV107"/>
      <c r="AW107" t="s">
        <v>116</v>
      </c>
      <c r="AX107"/>
      <c r="AY107"/>
      <c r="AZ107" t="s">
        <v>116</v>
      </c>
      <c r="BA107"/>
      <c r="BB107"/>
      <c r="BC107" t="s">
        <v>116</v>
      </c>
      <c r="BD107"/>
      <c r="BE107"/>
      <c r="BF107" t="s">
        <v>116</v>
      </c>
      <c r="BG107"/>
      <c r="BH107"/>
      <c r="BI107" t="s">
        <v>116</v>
      </c>
      <c r="BJ107"/>
      <c r="BK107"/>
      <c r="BL107" s="8">
        <v>0</v>
      </c>
      <c r="BM107" s="8">
        <v>800</v>
      </c>
      <c r="BN107" s="8">
        <v>800</v>
      </c>
      <c r="BO107" s="8">
        <v>0</v>
      </c>
      <c r="BP107" s="8">
        <v>-800</v>
      </c>
      <c r="BQ107" s="8">
        <v>0</v>
      </c>
      <c r="BR107" s="8">
        <v>0</v>
      </c>
      <c r="BS107" s="8">
        <v>0</v>
      </c>
      <c r="BT107" s="8">
        <v>0</v>
      </c>
      <c r="BU107" s="8">
        <v>0</v>
      </c>
      <c r="BV107" s="8">
        <v>0</v>
      </c>
      <c r="BW107" s="8">
        <v>0</v>
      </c>
      <c r="BX107" s="8">
        <v>0</v>
      </c>
      <c r="BY107" t="s">
        <v>99</v>
      </c>
      <c r="BZ107" t="s">
        <v>123</v>
      </c>
      <c r="CA107"/>
      <c r="CB107"/>
      <c r="CC107"/>
      <c r="CD107"/>
      <c r="CE107"/>
      <c r="CF107"/>
      <c r="CG107"/>
      <c r="CH107"/>
      <c r="CI107"/>
      <c r="CJ107"/>
      <c r="CK107"/>
      <c r="CL107"/>
      <c r="CM107"/>
      <c r="CN107"/>
      <c r="CO107"/>
      <c r="CP107"/>
      <c r="CQ107"/>
      <c r="CR107"/>
      <c r="CS107"/>
      <c r="CT107"/>
      <c r="CU107"/>
      <c r="CV107"/>
      <c r="CW107"/>
      <c r="CX107"/>
      <c r="CY107"/>
      <c r="CZ107"/>
      <c r="DA107"/>
      <c r="DB107"/>
      <c r="DC107"/>
      <c r="DD107"/>
    </row>
    <row r="108" spans="1:108" x14ac:dyDescent="0.25">
      <c r="A108" t="s">
        <v>99</v>
      </c>
      <c r="B108" t="s">
        <v>100</v>
      </c>
      <c r="C108" t="s">
        <v>5</v>
      </c>
      <c r="D108" t="s">
        <v>101</v>
      </c>
      <c r="E108" t="s">
        <v>102</v>
      </c>
      <c r="F108" t="s">
        <v>103</v>
      </c>
      <c r="G108" t="s">
        <v>104</v>
      </c>
      <c r="H108" t="s">
        <v>105</v>
      </c>
      <c r="I108" s="6" t="s">
        <v>106</v>
      </c>
      <c r="J108" s="6" t="s">
        <v>107</v>
      </c>
      <c r="K108" s="6" t="s">
        <v>277</v>
      </c>
      <c r="L108" s="6" t="s">
        <v>278</v>
      </c>
      <c r="M108" s="6" t="s">
        <v>279</v>
      </c>
      <c r="N108" s="6" t="s">
        <v>280</v>
      </c>
      <c r="O108" s="6" t="s">
        <v>112</v>
      </c>
      <c r="P108" s="6" t="s">
        <v>281</v>
      </c>
      <c r="Q108" s="6" t="s">
        <v>324</v>
      </c>
      <c r="R108" t="s">
        <v>112</v>
      </c>
      <c r="S108" t="s">
        <v>325</v>
      </c>
      <c r="T108"/>
      <c r="U108"/>
      <c r="V108" t="s">
        <v>116</v>
      </c>
      <c r="W108"/>
      <c r="X108"/>
      <c r="Y108" t="s">
        <v>116</v>
      </c>
      <c r="Z108"/>
      <c r="AA108"/>
      <c r="AB108" t="s">
        <v>116</v>
      </c>
      <c r="AC108"/>
      <c r="AD108"/>
      <c r="AE108" t="s">
        <v>116</v>
      </c>
      <c r="AF108" t="s">
        <v>117</v>
      </c>
      <c r="AG108" t="s">
        <v>118</v>
      </c>
      <c r="AH108" t="s">
        <v>119</v>
      </c>
      <c r="AI108" t="s">
        <v>120</v>
      </c>
      <c r="AJ108" t="s">
        <v>121</v>
      </c>
      <c r="AK108" t="s">
        <v>122</v>
      </c>
      <c r="AL108"/>
      <c r="AM108"/>
      <c r="AN108" t="s">
        <v>116</v>
      </c>
      <c r="AO108"/>
      <c r="AP108"/>
      <c r="AQ108" t="s">
        <v>116</v>
      </c>
      <c r="AR108"/>
      <c r="AS108"/>
      <c r="AT108" t="s">
        <v>116</v>
      </c>
      <c r="AU108"/>
      <c r="AV108"/>
      <c r="AW108" t="s">
        <v>116</v>
      </c>
      <c r="AX108"/>
      <c r="AY108"/>
      <c r="AZ108" t="s">
        <v>116</v>
      </c>
      <c r="BA108"/>
      <c r="BB108"/>
      <c r="BC108" t="s">
        <v>116</v>
      </c>
      <c r="BD108"/>
      <c r="BE108"/>
      <c r="BF108" t="s">
        <v>116</v>
      </c>
      <c r="BG108"/>
      <c r="BH108"/>
      <c r="BI108" t="s">
        <v>116</v>
      </c>
      <c r="BJ108"/>
      <c r="BK108"/>
      <c r="BL108" s="8">
        <v>600</v>
      </c>
      <c r="BM108" s="8">
        <v>0</v>
      </c>
      <c r="BN108" s="8">
        <v>0</v>
      </c>
      <c r="BO108" s="8">
        <v>0</v>
      </c>
      <c r="BP108" s="8">
        <v>600</v>
      </c>
      <c r="BQ108" s="8">
        <v>0</v>
      </c>
      <c r="BR108" s="8">
        <v>0</v>
      </c>
      <c r="BS108" s="8">
        <v>0</v>
      </c>
      <c r="BT108" s="8">
        <v>0</v>
      </c>
      <c r="BU108" s="8">
        <v>0</v>
      </c>
      <c r="BV108" s="8">
        <v>0</v>
      </c>
      <c r="BW108" s="8">
        <v>0</v>
      </c>
      <c r="BX108" s="8">
        <v>0</v>
      </c>
      <c r="BY108" t="s">
        <v>99</v>
      </c>
      <c r="BZ108" t="s">
        <v>123</v>
      </c>
      <c r="CA108"/>
      <c r="CB108"/>
      <c r="CC108"/>
      <c r="CD108"/>
      <c r="CE108"/>
      <c r="CF108"/>
      <c r="CG108"/>
      <c r="CH108"/>
      <c r="CI108"/>
      <c r="CJ108"/>
      <c r="CK108"/>
      <c r="CL108"/>
      <c r="CM108"/>
      <c r="CN108"/>
      <c r="CO108"/>
      <c r="CP108"/>
      <c r="CQ108"/>
      <c r="CR108"/>
      <c r="CS108"/>
      <c r="CT108"/>
      <c r="CU108"/>
      <c r="CV108"/>
      <c r="CW108"/>
      <c r="CX108"/>
      <c r="CY108"/>
      <c r="CZ108"/>
      <c r="DA108"/>
      <c r="DB108"/>
      <c r="DC108"/>
      <c r="DD108"/>
    </row>
    <row r="109" spans="1:108" x14ac:dyDescent="0.25">
      <c r="A109" t="s">
        <v>99</v>
      </c>
      <c r="B109" t="s">
        <v>100</v>
      </c>
      <c r="C109" t="s">
        <v>5</v>
      </c>
      <c r="D109" t="s">
        <v>101</v>
      </c>
      <c r="E109" t="s">
        <v>102</v>
      </c>
      <c r="F109" t="s">
        <v>103</v>
      </c>
      <c r="G109" t="s">
        <v>104</v>
      </c>
      <c r="H109" t="s">
        <v>105</v>
      </c>
      <c r="I109" s="6" t="s">
        <v>106</v>
      </c>
      <c r="J109" s="6" t="s">
        <v>107</v>
      </c>
      <c r="K109" s="6" t="s">
        <v>277</v>
      </c>
      <c r="L109" s="6" t="s">
        <v>278</v>
      </c>
      <c r="M109" s="6" t="s">
        <v>279</v>
      </c>
      <c r="N109" s="6" t="s">
        <v>280</v>
      </c>
      <c r="O109" s="6" t="s">
        <v>112</v>
      </c>
      <c r="P109" s="6" t="s">
        <v>281</v>
      </c>
      <c r="Q109" s="6" t="s">
        <v>324</v>
      </c>
      <c r="R109" t="s">
        <v>112</v>
      </c>
      <c r="S109" t="s">
        <v>325</v>
      </c>
      <c r="T109"/>
      <c r="U109"/>
      <c r="V109" t="s">
        <v>116</v>
      </c>
      <c r="W109"/>
      <c r="X109"/>
      <c r="Y109" t="s">
        <v>116</v>
      </c>
      <c r="Z109"/>
      <c r="AA109"/>
      <c r="AB109" t="s">
        <v>116</v>
      </c>
      <c r="AC109"/>
      <c r="AD109"/>
      <c r="AE109" t="s">
        <v>116</v>
      </c>
      <c r="AF109" t="s">
        <v>117</v>
      </c>
      <c r="AG109" t="s">
        <v>118</v>
      </c>
      <c r="AH109" t="s">
        <v>119</v>
      </c>
      <c r="AI109" t="s">
        <v>120</v>
      </c>
      <c r="AJ109" t="s">
        <v>121</v>
      </c>
      <c r="AK109" t="s">
        <v>122</v>
      </c>
      <c r="AL109" t="s">
        <v>164</v>
      </c>
      <c r="AM109" t="s">
        <v>165</v>
      </c>
      <c r="AN109" t="s">
        <v>166</v>
      </c>
      <c r="AO109"/>
      <c r="AP109"/>
      <c r="AQ109" t="s">
        <v>116</v>
      </c>
      <c r="AR109"/>
      <c r="AS109"/>
      <c r="AT109" t="s">
        <v>116</v>
      </c>
      <c r="AU109"/>
      <c r="AV109"/>
      <c r="AW109" t="s">
        <v>116</v>
      </c>
      <c r="AX109"/>
      <c r="AY109"/>
      <c r="AZ109" t="s">
        <v>116</v>
      </c>
      <c r="BA109"/>
      <c r="BB109"/>
      <c r="BC109" t="s">
        <v>116</v>
      </c>
      <c r="BD109"/>
      <c r="BE109"/>
      <c r="BF109" t="s">
        <v>116</v>
      </c>
      <c r="BG109"/>
      <c r="BH109"/>
      <c r="BI109" t="s">
        <v>116</v>
      </c>
      <c r="BJ109"/>
      <c r="BK109"/>
      <c r="BL109" s="8">
        <v>0</v>
      </c>
      <c r="BM109" s="8">
        <v>1367.1</v>
      </c>
      <c r="BN109" s="8">
        <v>1367.1</v>
      </c>
      <c r="BO109" s="8">
        <v>0</v>
      </c>
      <c r="BP109" s="8">
        <v>-1367.1</v>
      </c>
      <c r="BQ109" s="8">
        <v>0</v>
      </c>
      <c r="BR109" s="8">
        <v>0</v>
      </c>
      <c r="BS109" s="8">
        <v>0</v>
      </c>
      <c r="BT109" s="8">
        <v>0</v>
      </c>
      <c r="BU109" s="8">
        <v>0</v>
      </c>
      <c r="BV109" s="8">
        <v>0</v>
      </c>
      <c r="BW109" s="8">
        <v>0</v>
      </c>
      <c r="BX109" s="8">
        <v>0</v>
      </c>
      <c r="BY109" t="s">
        <v>99</v>
      </c>
      <c r="BZ109" t="s">
        <v>123</v>
      </c>
      <c r="CA109"/>
      <c r="CB109"/>
      <c r="CC109"/>
      <c r="CD109"/>
      <c r="CE109"/>
      <c r="CF109"/>
      <c r="CG109"/>
      <c r="CH109"/>
      <c r="CI109"/>
      <c r="CJ109"/>
      <c r="CK109"/>
      <c r="CL109"/>
      <c r="CM109"/>
      <c r="CN109"/>
      <c r="CO109"/>
      <c r="CP109"/>
      <c r="CQ109"/>
      <c r="CR109"/>
      <c r="CS109"/>
      <c r="CT109"/>
      <c r="CU109"/>
      <c r="CV109"/>
      <c r="CW109"/>
      <c r="CX109"/>
      <c r="CY109"/>
      <c r="CZ109"/>
      <c r="DA109"/>
      <c r="DB109"/>
      <c r="DC109"/>
      <c r="DD109"/>
    </row>
    <row r="110" spans="1:108" x14ac:dyDescent="0.25">
      <c r="A110" t="s">
        <v>99</v>
      </c>
      <c r="B110" t="s">
        <v>100</v>
      </c>
      <c r="C110" t="s">
        <v>5</v>
      </c>
      <c r="D110" t="s">
        <v>101</v>
      </c>
      <c r="E110" t="s">
        <v>102</v>
      </c>
      <c r="F110" t="s">
        <v>103</v>
      </c>
      <c r="G110" t="s">
        <v>104</v>
      </c>
      <c r="H110" t="s">
        <v>105</v>
      </c>
      <c r="I110" s="6" t="s">
        <v>106</v>
      </c>
      <c r="J110" s="6" t="s">
        <v>107</v>
      </c>
      <c r="K110" s="6" t="s">
        <v>277</v>
      </c>
      <c r="L110" s="6" t="s">
        <v>278</v>
      </c>
      <c r="M110" s="6" t="s">
        <v>279</v>
      </c>
      <c r="N110" s="6" t="s">
        <v>280</v>
      </c>
      <c r="O110" s="6" t="s">
        <v>112</v>
      </c>
      <c r="P110" s="6" t="s">
        <v>281</v>
      </c>
      <c r="Q110" s="6" t="s">
        <v>324</v>
      </c>
      <c r="R110" t="s">
        <v>112</v>
      </c>
      <c r="S110" t="s">
        <v>325</v>
      </c>
      <c r="T110"/>
      <c r="U110"/>
      <c r="V110" t="s">
        <v>116</v>
      </c>
      <c r="W110"/>
      <c r="X110"/>
      <c r="Y110" t="s">
        <v>116</v>
      </c>
      <c r="Z110"/>
      <c r="AA110"/>
      <c r="AB110" t="s">
        <v>116</v>
      </c>
      <c r="AC110"/>
      <c r="AD110"/>
      <c r="AE110" t="s">
        <v>116</v>
      </c>
      <c r="AF110" t="s">
        <v>117</v>
      </c>
      <c r="AG110" t="s">
        <v>118</v>
      </c>
      <c r="AH110" t="s">
        <v>119</v>
      </c>
      <c r="AI110" t="s">
        <v>120</v>
      </c>
      <c r="AJ110" t="s">
        <v>121</v>
      </c>
      <c r="AK110" t="s">
        <v>122</v>
      </c>
      <c r="AL110" t="s">
        <v>167</v>
      </c>
      <c r="AM110" t="s">
        <v>168</v>
      </c>
      <c r="AN110" t="s">
        <v>169</v>
      </c>
      <c r="AO110"/>
      <c r="AP110"/>
      <c r="AQ110" t="s">
        <v>116</v>
      </c>
      <c r="AR110"/>
      <c r="AS110"/>
      <c r="AT110" t="s">
        <v>116</v>
      </c>
      <c r="AU110"/>
      <c r="AV110"/>
      <c r="AW110" t="s">
        <v>116</v>
      </c>
      <c r="AX110"/>
      <c r="AY110"/>
      <c r="AZ110" t="s">
        <v>116</v>
      </c>
      <c r="BA110"/>
      <c r="BB110"/>
      <c r="BC110" t="s">
        <v>116</v>
      </c>
      <c r="BD110"/>
      <c r="BE110"/>
      <c r="BF110" t="s">
        <v>116</v>
      </c>
      <c r="BG110"/>
      <c r="BH110"/>
      <c r="BI110" t="s">
        <v>116</v>
      </c>
      <c r="BJ110"/>
      <c r="BK110"/>
      <c r="BL110" s="8">
        <v>0</v>
      </c>
      <c r="BM110" s="8">
        <v>108.6</v>
      </c>
      <c r="BN110" s="8">
        <v>108.6</v>
      </c>
      <c r="BO110" s="8">
        <v>0</v>
      </c>
      <c r="BP110" s="8">
        <v>-108.6</v>
      </c>
      <c r="BQ110" s="8">
        <v>0</v>
      </c>
      <c r="BR110" s="8">
        <v>0</v>
      </c>
      <c r="BS110" s="8">
        <v>0</v>
      </c>
      <c r="BT110" s="8">
        <v>0</v>
      </c>
      <c r="BU110" s="8">
        <v>0</v>
      </c>
      <c r="BV110" s="8">
        <v>0</v>
      </c>
      <c r="BW110" s="8">
        <v>0</v>
      </c>
      <c r="BX110" s="8">
        <v>0</v>
      </c>
      <c r="BY110" t="s">
        <v>99</v>
      </c>
      <c r="BZ110" t="s">
        <v>123</v>
      </c>
      <c r="CA110"/>
      <c r="CB110"/>
      <c r="CC110"/>
      <c r="CD110"/>
      <c r="CE110"/>
      <c r="CF110"/>
      <c r="CG110"/>
      <c r="CH110"/>
      <c r="CI110"/>
      <c r="CJ110"/>
      <c r="CK110"/>
      <c r="CL110"/>
      <c r="CM110"/>
      <c r="CN110"/>
      <c r="CO110"/>
      <c r="CP110"/>
      <c r="CQ110"/>
      <c r="CR110"/>
      <c r="CS110"/>
      <c r="CT110"/>
      <c r="CU110"/>
      <c r="CV110"/>
      <c r="CW110"/>
      <c r="CX110"/>
      <c r="CY110"/>
      <c r="CZ110"/>
      <c r="DA110"/>
      <c r="DB110"/>
      <c r="DC110"/>
      <c r="DD110"/>
    </row>
    <row r="111" spans="1:108" x14ac:dyDescent="0.25">
      <c r="A111" t="s">
        <v>99</v>
      </c>
      <c r="B111" t="s">
        <v>100</v>
      </c>
      <c r="C111" t="s">
        <v>5</v>
      </c>
      <c r="D111" t="s">
        <v>101</v>
      </c>
      <c r="E111" t="s">
        <v>102</v>
      </c>
      <c r="F111" t="s">
        <v>103</v>
      </c>
      <c r="G111" t="s">
        <v>104</v>
      </c>
      <c r="H111" t="s">
        <v>105</v>
      </c>
      <c r="I111" s="6" t="s">
        <v>106</v>
      </c>
      <c r="J111" s="6" t="s">
        <v>107</v>
      </c>
      <c r="K111" s="6" t="s">
        <v>277</v>
      </c>
      <c r="L111" s="6" t="s">
        <v>278</v>
      </c>
      <c r="M111" s="6" t="s">
        <v>279</v>
      </c>
      <c r="N111" s="6" t="s">
        <v>280</v>
      </c>
      <c r="O111" s="6" t="s">
        <v>112</v>
      </c>
      <c r="P111" s="6" t="s">
        <v>281</v>
      </c>
      <c r="Q111" s="6" t="s">
        <v>326</v>
      </c>
      <c r="R111" t="s">
        <v>112</v>
      </c>
      <c r="S111" t="s">
        <v>327</v>
      </c>
      <c r="T111"/>
      <c r="U111"/>
      <c r="V111" t="s">
        <v>116</v>
      </c>
      <c r="W111"/>
      <c r="X111"/>
      <c r="Y111" t="s">
        <v>116</v>
      </c>
      <c r="Z111"/>
      <c r="AA111"/>
      <c r="AB111" t="s">
        <v>116</v>
      </c>
      <c r="AC111"/>
      <c r="AD111"/>
      <c r="AE111" t="s">
        <v>116</v>
      </c>
      <c r="AF111" t="s">
        <v>117</v>
      </c>
      <c r="AG111" t="s">
        <v>118</v>
      </c>
      <c r="AH111" t="s">
        <v>119</v>
      </c>
      <c r="AI111" t="s">
        <v>120</v>
      </c>
      <c r="AJ111" t="s">
        <v>121</v>
      </c>
      <c r="AK111" t="s">
        <v>122</v>
      </c>
      <c r="AL111"/>
      <c r="AM111"/>
      <c r="AN111" t="s">
        <v>116</v>
      </c>
      <c r="AO111"/>
      <c r="AP111"/>
      <c r="AQ111" t="s">
        <v>116</v>
      </c>
      <c r="AR111"/>
      <c r="AS111"/>
      <c r="AT111" t="s">
        <v>116</v>
      </c>
      <c r="AU111"/>
      <c r="AV111"/>
      <c r="AW111" t="s">
        <v>116</v>
      </c>
      <c r="AX111"/>
      <c r="AY111"/>
      <c r="AZ111" t="s">
        <v>116</v>
      </c>
      <c r="BA111"/>
      <c r="BB111"/>
      <c r="BC111" t="s">
        <v>116</v>
      </c>
      <c r="BD111"/>
      <c r="BE111"/>
      <c r="BF111" t="s">
        <v>116</v>
      </c>
      <c r="BG111"/>
      <c r="BH111"/>
      <c r="BI111" t="s">
        <v>116</v>
      </c>
      <c r="BJ111"/>
      <c r="BK111"/>
      <c r="BL111" s="8">
        <v>800</v>
      </c>
      <c r="BM111" s="8">
        <v>0</v>
      </c>
      <c r="BN111" s="8">
        <v>0</v>
      </c>
      <c r="BO111" s="8">
        <v>0</v>
      </c>
      <c r="BP111" s="8">
        <v>800</v>
      </c>
      <c r="BQ111" s="8">
        <v>0</v>
      </c>
      <c r="BR111" s="8">
        <v>0</v>
      </c>
      <c r="BS111" s="8">
        <v>0</v>
      </c>
      <c r="BT111" s="8">
        <v>0</v>
      </c>
      <c r="BU111" s="8">
        <v>0</v>
      </c>
      <c r="BV111" s="8">
        <v>0</v>
      </c>
      <c r="BW111" s="8">
        <v>0</v>
      </c>
      <c r="BX111" s="8">
        <v>0</v>
      </c>
      <c r="BY111" t="s">
        <v>99</v>
      </c>
      <c r="BZ111" t="s">
        <v>123</v>
      </c>
      <c r="CA111"/>
      <c r="CB111"/>
      <c r="CC111"/>
      <c r="CD111"/>
      <c r="CE111"/>
      <c r="CF111"/>
      <c r="CG111"/>
      <c r="CH111"/>
      <c r="CI111"/>
      <c r="CJ111"/>
      <c r="CK111"/>
      <c r="CL111"/>
      <c r="CM111"/>
      <c r="CN111"/>
      <c r="CO111"/>
      <c r="CP111"/>
      <c r="CQ111"/>
      <c r="CR111"/>
      <c r="CS111"/>
      <c r="CT111"/>
      <c r="CU111"/>
      <c r="CV111"/>
      <c r="CW111"/>
      <c r="CX111"/>
      <c r="CY111"/>
      <c r="CZ111"/>
      <c r="DA111"/>
      <c r="DB111"/>
      <c r="DC111"/>
      <c r="DD111"/>
    </row>
    <row r="112" spans="1:108" x14ac:dyDescent="0.25">
      <c r="A112" t="s">
        <v>99</v>
      </c>
      <c r="B112" t="s">
        <v>100</v>
      </c>
      <c r="C112" t="s">
        <v>5</v>
      </c>
      <c r="D112" t="s">
        <v>101</v>
      </c>
      <c r="E112" t="s">
        <v>102</v>
      </c>
      <c r="F112" t="s">
        <v>103</v>
      </c>
      <c r="G112" t="s">
        <v>104</v>
      </c>
      <c r="H112" t="s">
        <v>105</v>
      </c>
      <c r="I112" s="6" t="s">
        <v>106</v>
      </c>
      <c r="J112" s="6" t="s">
        <v>107</v>
      </c>
      <c r="K112" s="6" t="s">
        <v>277</v>
      </c>
      <c r="L112" s="6" t="s">
        <v>278</v>
      </c>
      <c r="M112" s="6" t="s">
        <v>279</v>
      </c>
      <c r="N112" s="6" t="s">
        <v>280</v>
      </c>
      <c r="O112" s="6" t="s">
        <v>112</v>
      </c>
      <c r="P112" s="6" t="s">
        <v>281</v>
      </c>
      <c r="Q112" s="6" t="s">
        <v>326</v>
      </c>
      <c r="R112" t="s">
        <v>112</v>
      </c>
      <c r="S112" t="s">
        <v>327</v>
      </c>
      <c r="T112"/>
      <c r="U112"/>
      <c r="V112" t="s">
        <v>116</v>
      </c>
      <c r="W112"/>
      <c r="X112"/>
      <c r="Y112" t="s">
        <v>116</v>
      </c>
      <c r="Z112"/>
      <c r="AA112"/>
      <c r="AB112" t="s">
        <v>116</v>
      </c>
      <c r="AC112"/>
      <c r="AD112"/>
      <c r="AE112" t="s">
        <v>116</v>
      </c>
      <c r="AF112" t="s">
        <v>117</v>
      </c>
      <c r="AG112" t="s">
        <v>118</v>
      </c>
      <c r="AH112" t="s">
        <v>119</v>
      </c>
      <c r="AI112" t="s">
        <v>120</v>
      </c>
      <c r="AJ112" t="s">
        <v>121</v>
      </c>
      <c r="AK112" t="s">
        <v>122</v>
      </c>
      <c r="AL112" t="s">
        <v>328</v>
      </c>
      <c r="AM112" t="s">
        <v>329</v>
      </c>
      <c r="AN112" t="s">
        <v>330</v>
      </c>
      <c r="AO112"/>
      <c r="AP112"/>
      <c r="AQ112" t="s">
        <v>116</v>
      </c>
      <c r="AR112"/>
      <c r="AS112"/>
      <c r="AT112" t="s">
        <v>116</v>
      </c>
      <c r="AU112"/>
      <c r="AV112"/>
      <c r="AW112" t="s">
        <v>116</v>
      </c>
      <c r="AX112"/>
      <c r="AY112"/>
      <c r="AZ112" t="s">
        <v>116</v>
      </c>
      <c r="BA112"/>
      <c r="BB112"/>
      <c r="BC112" t="s">
        <v>116</v>
      </c>
      <c r="BD112"/>
      <c r="BE112"/>
      <c r="BF112" t="s">
        <v>116</v>
      </c>
      <c r="BG112"/>
      <c r="BH112"/>
      <c r="BI112" t="s">
        <v>116</v>
      </c>
      <c r="BJ112"/>
      <c r="BK112"/>
      <c r="BL112" s="8">
        <v>0</v>
      </c>
      <c r="BM112" s="8">
        <v>748</v>
      </c>
      <c r="BN112" s="8">
        <v>748</v>
      </c>
      <c r="BO112" s="8">
        <v>0</v>
      </c>
      <c r="BP112" s="8">
        <v>-748</v>
      </c>
      <c r="BQ112" s="8">
        <v>0</v>
      </c>
      <c r="BR112" s="8">
        <v>0</v>
      </c>
      <c r="BS112" s="8">
        <v>0</v>
      </c>
      <c r="BT112" s="8">
        <v>0</v>
      </c>
      <c r="BU112" s="8">
        <v>0</v>
      </c>
      <c r="BV112" s="8">
        <v>0</v>
      </c>
      <c r="BW112" s="8">
        <v>0</v>
      </c>
      <c r="BX112" s="8">
        <v>0</v>
      </c>
      <c r="BY112" t="s">
        <v>99</v>
      </c>
      <c r="BZ112" t="s">
        <v>123</v>
      </c>
      <c r="CA112"/>
      <c r="CB112"/>
      <c r="CC112"/>
      <c r="CD112"/>
      <c r="CE112"/>
      <c r="CF112"/>
      <c r="CG112"/>
      <c r="CH112"/>
      <c r="CI112"/>
      <c r="CJ112"/>
      <c r="CK112"/>
      <c r="CL112"/>
      <c r="CM112"/>
      <c r="CN112"/>
      <c r="CO112"/>
      <c r="CP112"/>
      <c r="CQ112"/>
      <c r="CR112"/>
      <c r="CS112"/>
      <c r="CT112"/>
      <c r="CU112"/>
      <c r="CV112"/>
      <c r="CW112"/>
      <c r="CX112"/>
      <c r="CY112"/>
      <c r="CZ112"/>
      <c r="DA112"/>
      <c r="DB112"/>
      <c r="DC112"/>
      <c r="DD112"/>
    </row>
    <row r="113" spans="1:108" x14ac:dyDescent="0.25">
      <c r="A113" t="s">
        <v>99</v>
      </c>
      <c r="B113" t="s">
        <v>100</v>
      </c>
      <c r="C113" t="s">
        <v>5</v>
      </c>
      <c r="D113" t="s">
        <v>101</v>
      </c>
      <c r="E113" t="s">
        <v>102</v>
      </c>
      <c r="F113" t="s">
        <v>103</v>
      </c>
      <c r="G113" t="s">
        <v>104</v>
      </c>
      <c r="H113" t="s">
        <v>105</v>
      </c>
      <c r="I113" s="6" t="s">
        <v>106</v>
      </c>
      <c r="J113" s="6" t="s">
        <v>107</v>
      </c>
      <c r="K113" s="6" t="s">
        <v>277</v>
      </c>
      <c r="L113" s="6" t="s">
        <v>278</v>
      </c>
      <c r="M113" s="6" t="s">
        <v>279</v>
      </c>
      <c r="N113" s="6" t="s">
        <v>280</v>
      </c>
      <c r="O113" s="6" t="s">
        <v>112</v>
      </c>
      <c r="P113" s="6" t="s">
        <v>281</v>
      </c>
      <c r="Q113" s="6" t="s">
        <v>331</v>
      </c>
      <c r="R113" t="s">
        <v>112</v>
      </c>
      <c r="S113" t="s">
        <v>332</v>
      </c>
      <c r="T113"/>
      <c r="U113"/>
      <c r="V113" t="s">
        <v>116</v>
      </c>
      <c r="W113"/>
      <c r="X113"/>
      <c r="Y113" t="s">
        <v>116</v>
      </c>
      <c r="Z113"/>
      <c r="AA113"/>
      <c r="AB113" t="s">
        <v>116</v>
      </c>
      <c r="AC113"/>
      <c r="AD113"/>
      <c r="AE113" t="s">
        <v>116</v>
      </c>
      <c r="AF113" t="s">
        <v>117</v>
      </c>
      <c r="AG113" t="s">
        <v>118</v>
      </c>
      <c r="AH113" t="s">
        <v>119</v>
      </c>
      <c r="AI113" t="s">
        <v>120</v>
      </c>
      <c r="AJ113" t="s">
        <v>121</v>
      </c>
      <c r="AK113" t="s">
        <v>122</v>
      </c>
      <c r="AL113"/>
      <c r="AM113"/>
      <c r="AN113" t="s">
        <v>116</v>
      </c>
      <c r="AO113"/>
      <c r="AP113"/>
      <c r="AQ113" t="s">
        <v>116</v>
      </c>
      <c r="AR113"/>
      <c r="AS113"/>
      <c r="AT113" t="s">
        <v>116</v>
      </c>
      <c r="AU113"/>
      <c r="AV113"/>
      <c r="AW113" t="s">
        <v>116</v>
      </c>
      <c r="AX113"/>
      <c r="AY113"/>
      <c r="AZ113" t="s">
        <v>116</v>
      </c>
      <c r="BA113"/>
      <c r="BB113"/>
      <c r="BC113" t="s">
        <v>116</v>
      </c>
      <c r="BD113"/>
      <c r="BE113"/>
      <c r="BF113" t="s">
        <v>116</v>
      </c>
      <c r="BG113"/>
      <c r="BH113"/>
      <c r="BI113" t="s">
        <v>116</v>
      </c>
      <c r="BJ113"/>
      <c r="BK113"/>
      <c r="BL113" s="8">
        <v>50</v>
      </c>
      <c r="BM113" s="8">
        <v>0</v>
      </c>
      <c r="BN113" s="8">
        <v>0</v>
      </c>
      <c r="BO113" s="8">
        <v>0</v>
      </c>
      <c r="BP113" s="8">
        <v>50</v>
      </c>
      <c r="BQ113" s="8">
        <v>0</v>
      </c>
      <c r="BR113" s="8">
        <v>0</v>
      </c>
      <c r="BS113" s="8">
        <v>0</v>
      </c>
      <c r="BT113" s="8">
        <v>0</v>
      </c>
      <c r="BU113" s="8">
        <v>0</v>
      </c>
      <c r="BV113" s="8">
        <v>0</v>
      </c>
      <c r="BW113" s="8">
        <v>0</v>
      </c>
      <c r="BX113" s="8">
        <v>0</v>
      </c>
      <c r="BY113" t="s">
        <v>99</v>
      </c>
      <c r="BZ113" t="s">
        <v>123</v>
      </c>
      <c r="CA113"/>
      <c r="CB113"/>
      <c r="CC113"/>
      <c r="CD113"/>
      <c r="CE113"/>
      <c r="CF113"/>
      <c r="CG113"/>
      <c r="CH113"/>
      <c r="CI113"/>
      <c r="CJ113"/>
      <c r="CK113"/>
      <c r="CL113"/>
      <c r="CM113"/>
      <c r="CN113"/>
      <c r="CO113"/>
      <c r="CP113"/>
      <c r="CQ113"/>
      <c r="CR113"/>
      <c r="CS113"/>
      <c r="CT113"/>
      <c r="CU113"/>
      <c r="CV113"/>
      <c r="CW113"/>
      <c r="CX113"/>
      <c r="CY113"/>
      <c r="CZ113"/>
      <c r="DA113"/>
      <c r="DB113"/>
      <c r="DC113"/>
      <c r="DD113"/>
    </row>
    <row r="114" spans="1:108" x14ac:dyDescent="0.25">
      <c r="A114" t="s">
        <v>99</v>
      </c>
      <c r="B114" t="s">
        <v>100</v>
      </c>
      <c r="C114" t="s">
        <v>5</v>
      </c>
      <c r="D114" t="s">
        <v>101</v>
      </c>
      <c r="E114" t="s">
        <v>102</v>
      </c>
      <c r="F114" t="s">
        <v>103</v>
      </c>
      <c r="G114" t="s">
        <v>104</v>
      </c>
      <c r="H114" t="s">
        <v>105</v>
      </c>
      <c r="I114" s="6" t="s">
        <v>106</v>
      </c>
      <c r="J114" s="6" t="s">
        <v>107</v>
      </c>
      <c r="K114" s="6" t="s">
        <v>277</v>
      </c>
      <c r="L114" s="6" t="s">
        <v>278</v>
      </c>
      <c r="M114" s="6" t="s">
        <v>279</v>
      </c>
      <c r="N114" s="6" t="s">
        <v>280</v>
      </c>
      <c r="O114" s="6" t="s">
        <v>112</v>
      </c>
      <c r="P114" s="6" t="s">
        <v>281</v>
      </c>
      <c r="Q114" s="6" t="s">
        <v>333</v>
      </c>
      <c r="R114" t="s">
        <v>112</v>
      </c>
      <c r="S114" t="s">
        <v>334</v>
      </c>
      <c r="T114"/>
      <c r="U114"/>
      <c r="V114" t="s">
        <v>116</v>
      </c>
      <c r="W114"/>
      <c r="X114"/>
      <c r="Y114" t="s">
        <v>116</v>
      </c>
      <c r="Z114"/>
      <c r="AA114"/>
      <c r="AB114" t="s">
        <v>116</v>
      </c>
      <c r="AC114"/>
      <c r="AD114"/>
      <c r="AE114" t="s">
        <v>116</v>
      </c>
      <c r="AF114" t="s">
        <v>117</v>
      </c>
      <c r="AG114" t="s">
        <v>118</v>
      </c>
      <c r="AH114" t="s">
        <v>119</v>
      </c>
      <c r="AI114" t="s">
        <v>120</v>
      </c>
      <c r="AJ114" t="s">
        <v>121</v>
      </c>
      <c r="AK114" t="s">
        <v>122</v>
      </c>
      <c r="AL114"/>
      <c r="AM114"/>
      <c r="AN114" t="s">
        <v>116</v>
      </c>
      <c r="AO114"/>
      <c r="AP114"/>
      <c r="AQ114" t="s">
        <v>116</v>
      </c>
      <c r="AR114"/>
      <c r="AS114"/>
      <c r="AT114" t="s">
        <v>116</v>
      </c>
      <c r="AU114"/>
      <c r="AV114"/>
      <c r="AW114" t="s">
        <v>116</v>
      </c>
      <c r="AX114"/>
      <c r="AY114"/>
      <c r="AZ114" t="s">
        <v>116</v>
      </c>
      <c r="BA114"/>
      <c r="BB114"/>
      <c r="BC114" t="s">
        <v>116</v>
      </c>
      <c r="BD114"/>
      <c r="BE114"/>
      <c r="BF114" t="s">
        <v>116</v>
      </c>
      <c r="BG114"/>
      <c r="BH114"/>
      <c r="BI114" t="s">
        <v>116</v>
      </c>
      <c r="BJ114"/>
      <c r="BK114"/>
      <c r="BL114" s="8">
        <v>4500</v>
      </c>
      <c r="BM114" s="8">
        <v>0</v>
      </c>
      <c r="BN114" s="8">
        <v>0</v>
      </c>
      <c r="BO114" s="8">
        <v>0</v>
      </c>
      <c r="BP114" s="8">
        <v>4500</v>
      </c>
      <c r="BQ114" s="8">
        <v>0</v>
      </c>
      <c r="BR114" s="8">
        <v>0</v>
      </c>
      <c r="BS114" s="8">
        <v>0</v>
      </c>
      <c r="BT114" s="8">
        <v>0</v>
      </c>
      <c r="BU114" s="8">
        <v>0</v>
      </c>
      <c r="BV114" s="8">
        <v>0</v>
      </c>
      <c r="BW114" s="8">
        <v>0</v>
      </c>
      <c r="BX114" s="8">
        <v>0</v>
      </c>
      <c r="BY114" t="s">
        <v>99</v>
      </c>
      <c r="BZ114" t="s">
        <v>123</v>
      </c>
      <c r="CA114"/>
      <c r="CB114"/>
      <c r="CC114"/>
      <c r="CD114"/>
      <c r="CE114"/>
      <c r="CF114"/>
      <c r="CG114"/>
      <c r="CH114"/>
      <c r="CI114"/>
      <c r="CJ114"/>
      <c r="CK114"/>
      <c r="CL114"/>
      <c r="CM114"/>
      <c r="CN114"/>
      <c r="CO114"/>
      <c r="CP114"/>
      <c r="CQ114"/>
      <c r="CR114"/>
      <c r="CS114"/>
      <c r="CT114"/>
      <c r="CU114"/>
      <c r="CV114"/>
      <c r="CW114"/>
      <c r="CX114"/>
      <c r="CY114"/>
      <c r="CZ114"/>
      <c r="DA114"/>
      <c r="DB114"/>
      <c r="DC114"/>
      <c r="DD114"/>
    </row>
    <row r="115" spans="1:108" x14ac:dyDescent="0.25">
      <c r="A115" t="s">
        <v>99</v>
      </c>
      <c r="B115" t="s">
        <v>100</v>
      </c>
      <c r="C115" t="s">
        <v>5</v>
      </c>
      <c r="D115" t="s">
        <v>101</v>
      </c>
      <c r="E115" t="s">
        <v>102</v>
      </c>
      <c r="F115" t="s">
        <v>103</v>
      </c>
      <c r="G115" t="s">
        <v>104</v>
      </c>
      <c r="H115" t="s">
        <v>105</v>
      </c>
      <c r="I115" s="6" t="s">
        <v>106</v>
      </c>
      <c r="J115" s="6" t="s">
        <v>107</v>
      </c>
      <c r="K115" s="6" t="s">
        <v>277</v>
      </c>
      <c r="L115" s="6" t="s">
        <v>278</v>
      </c>
      <c r="M115" s="6" t="s">
        <v>279</v>
      </c>
      <c r="N115" s="6" t="s">
        <v>280</v>
      </c>
      <c r="O115" s="6" t="s">
        <v>112</v>
      </c>
      <c r="P115" s="6" t="s">
        <v>281</v>
      </c>
      <c r="Q115" s="6" t="s">
        <v>333</v>
      </c>
      <c r="R115" t="s">
        <v>112</v>
      </c>
      <c r="S115" t="s">
        <v>334</v>
      </c>
      <c r="T115"/>
      <c r="U115"/>
      <c r="V115" t="s">
        <v>116</v>
      </c>
      <c r="W115"/>
      <c r="X115"/>
      <c r="Y115" t="s">
        <v>116</v>
      </c>
      <c r="Z115"/>
      <c r="AA115"/>
      <c r="AB115" t="s">
        <v>116</v>
      </c>
      <c r="AC115"/>
      <c r="AD115"/>
      <c r="AE115" t="s">
        <v>116</v>
      </c>
      <c r="AF115" t="s">
        <v>117</v>
      </c>
      <c r="AG115" t="s">
        <v>118</v>
      </c>
      <c r="AH115" t="s">
        <v>119</v>
      </c>
      <c r="AI115" t="s">
        <v>120</v>
      </c>
      <c r="AJ115" t="s">
        <v>121</v>
      </c>
      <c r="AK115" t="s">
        <v>122</v>
      </c>
      <c r="AL115" t="s">
        <v>203</v>
      </c>
      <c r="AM115" t="s">
        <v>204</v>
      </c>
      <c r="AN115" t="s">
        <v>205</v>
      </c>
      <c r="AO115"/>
      <c r="AP115"/>
      <c r="AQ115" t="s">
        <v>116</v>
      </c>
      <c r="AR115"/>
      <c r="AS115"/>
      <c r="AT115" t="s">
        <v>116</v>
      </c>
      <c r="AU115"/>
      <c r="AV115"/>
      <c r="AW115" t="s">
        <v>116</v>
      </c>
      <c r="AX115"/>
      <c r="AY115"/>
      <c r="AZ115" t="s">
        <v>116</v>
      </c>
      <c r="BA115"/>
      <c r="BB115"/>
      <c r="BC115" t="s">
        <v>116</v>
      </c>
      <c r="BD115"/>
      <c r="BE115"/>
      <c r="BF115" t="s">
        <v>116</v>
      </c>
      <c r="BG115"/>
      <c r="BH115"/>
      <c r="BI115" t="s">
        <v>116</v>
      </c>
      <c r="BJ115"/>
      <c r="BK115"/>
      <c r="BL115" s="8">
        <v>0</v>
      </c>
      <c r="BM115" s="8">
        <v>232.54</v>
      </c>
      <c r="BN115" s="8">
        <v>232.54</v>
      </c>
      <c r="BO115" s="8">
        <v>0</v>
      </c>
      <c r="BP115" s="8">
        <v>-232.54</v>
      </c>
      <c r="BQ115" s="8">
        <v>0</v>
      </c>
      <c r="BR115" s="8">
        <v>0</v>
      </c>
      <c r="BS115" s="8">
        <v>0</v>
      </c>
      <c r="BT115" s="8">
        <v>0</v>
      </c>
      <c r="BU115" s="8">
        <v>0</v>
      </c>
      <c r="BV115" s="8">
        <v>0</v>
      </c>
      <c r="BW115" s="8">
        <v>0</v>
      </c>
      <c r="BX115" s="8">
        <v>0</v>
      </c>
      <c r="BY115" t="s">
        <v>99</v>
      </c>
      <c r="BZ115" t="s">
        <v>123</v>
      </c>
      <c r="CA115"/>
      <c r="CB115"/>
      <c r="CC115"/>
      <c r="CD115"/>
      <c r="CE115"/>
      <c r="CF115"/>
      <c r="CG115"/>
      <c r="CH115"/>
      <c r="CI115"/>
      <c r="CJ115"/>
      <c r="CK115"/>
      <c r="CL115"/>
      <c r="CM115"/>
      <c r="CN115"/>
      <c r="CO115"/>
      <c r="CP115"/>
      <c r="CQ115"/>
      <c r="CR115"/>
      <c r="CS115"/>
      <c r="CT115"/>
      <c r="CU115"/>
      <c r="CV115"/>
      <c r="CW115"/>
      <c r="CX115"/>
      <c r="CY115"/>
      <c r="CZ115"/>
      <c r="DA115"/>
      <c r="DB115"/>
      <c r="DC115"/>
      <c r="DD115"/>
    </row>
    <row r="116" spans="1:108" x14ac:dyDescent="0.25">
      <c r="A116" t="s">
        <v>99</v>
      </c>
      <c r="B116" t="s">
        <v>100</v>
      </c>
      <c r="C116" t="s">
        <v>5</v>
      </c>
      <c r="D116" t="s">
        <v>101</v>
      </c>
      <c r="E116" t="s">
        <v>102</v>
      </c>
      <c r="F116" t="s">
        <v>103</v>
      </c>
      <c r="G116" t="s">
        <v>104</v>
      </c>
      <c r="H116" t="s">
        <v>105</v>
      </c>
      <c r="I116" s="6" t="s">
        <v>106</v>
      </c>
      <c r="J116" s="6" t="s">
        <v>107</v>
      </c>
      <c r="K116" s="6" t="s">
        <v>277</v>
      </c>
      <c r="L116" s="6" t="s">
        <v>278</v>
      </c>
      <c r="M116" s="6" t="s">
        <v>279</v>
      </c>
      <c r="N116" s="6" t="s">
        <v>280</v>
      </c>
      <c r="O116" s="6" t="s">
        <v>112</v>
      </c>
      <c r="P116" s="6" t="s">
        <v>281</v>
      </c>
      <c r="Q116" s="6" t="s">
        <v>333</v>
      </c>
      <c r="R116" t="s">
        <v>112</v>
      </c>
      <c r="S116" t="s">
        <v>334</v>
      </c>
      <c r="T116"/>
      <c r="U116"/>
      <c r="V116" t="s">
        <v>116</v>
      </c>
      <c r="W116"/>
      <c r="X116"/>
      <c r="Y116" t="s">
        <v>116</v>
      </c>
      <c r="Z116"/>
      <c r="AA116"/>
      <c r="AB116" t="s">
        <v>116</v>
      </c>
      <c r="AC116"/>
      <c r="AD116"/>
      <c r="AE116" t="s">
        <v>116</v>
      </c>
      <c r="AF116" t="s">
        <v>117</v>
      </c>
      <c r="AG116" t="s">
        <v>118</v>
      </c>
      <c r="AH116" t="s">
        <v>119</v>
      </c>
      <c r="AI116" t="s">
        <v>120</v>
      </c>
      <c r="AJ116" t="s">
        <v>121</v>
      </c>
      <c r="AK116" t="s">
        <v>122</v>
      </c>
      <c r="AL116" t="s">
        <v>267</v>
      </c>
      <c r="AM116" t="s">
        <v>268</v>
      </c>
      <c r="AN116" t="s">
        <v>269</v>
      </c>
      <c r="AO116"/>
      <c r="AP116"/>
      <c r="AQ116" t="s">
        <v>116</v>
      </c>
      <c r="AR116"/>
      <c r="AS116"/>
      <c r="AT116" t="s">
        <v>116</v>
      </c>
      <c r="AU116"/>
      <c r="AV116"/>
      <c r="AW116" t="s">
        <v>116</v>
      </c>
      <c r="AX116"/>
      <c r="AY116"/>
      <c r="AZ116" t="s">
        <v>116</v>
      </c>
      <c r="BA116"/>
      <c r="BB116"/>
      <c r="BC116" t="s">
        <v>116</v>
      </c>
      <c r="BD116"/>
      <c r="BE116"/>
      <c r="BF116" t="s">
        <v>116</v>
      </c>
      <c r="BG116"/>
      <c r="BH116"/>
      <c r="BI116" t="s">
        <v>116</v>
      </c>
      <c r="BJ116"/>
      <c r="BK116"/>
      <c r="BL116" s="8">
        <v>0</v>
      </c>
      <c r="BM116" s="8">
        <v>3928.6</v>
      </c>
      <c r="BN116" s="8">
        <v>3928.6</v>
      </c>
      <c r="BO116" s="8">
        <v>0</v>
      </c>
      <c r="BP116" s="8">
        <v>-3928.6</v>
      </c>
      <c r="BQ116" s="8">
        <v>0</v>
      </c>
      <c r="BR116" s="8">
        <v>0</v>
      </c>
      <c r="BS116" s="8">
        <v>0</v>
      </c>
      <c r="BT116" s="8">
        <v>0</v>
      </c>
      <c r="BU116" s="8">
        <v>0</v>
      </c>
      <c r="BV116" s="8">
        <v>0</v>
      </c>
      <c r="BW116" s="8">
        <v>0</v>
      </c>
      <c r="BX116" s="8">
        <v>0</v>
      </c>
      <c r="BY116" t="s">
        <v>99</v>
      </c>
      <c r="BZ116" t="s">
        <v>123</v>
      </c>
      <c r="CA116"/>
      <c r="CB116"/>
      <c r="CC116"/>
      <c r="CD116"/>
      <c r="CE116"/>
      <c r="CF116"/>
      <c r="CG116"/>
      <c r="CH116"/>
      <c r="CI116"/>
      <c r="CJ116"/>
      <c r="CK116"/>
      <c r="CL116"/>
      <c r="CM116"/>
      <c r="CN116"/>
      <c r="CO116"/>
      <c r="CP116"/>
      <c r="CQ116"/>
      <c r="CR116"/>
      <c r="CS116"/>
      <c r="CT116"/>
      <c r="CU116"/>
      <c r="CV116"/>
      <c r="CW116"/>
      <c r="CX116"/>
      <c r="CY116"/>
      <c r="CZ116"/>
      <c r="DA116"/>
      <c r="DB116"/>
      <c r="DC116"/>
      <c r="DD116"/>
    </row>
    <row r="117" spans="1:108" x14ac:dyDescent="0.25">
      <c r="A117" t="s">
        <v>99</v>
      </c>
      <c r="B117" t="s">
        <v>100</v>
      </c>
      <c r="C117" t="s">
        <v>5</v>
      </c>
      <c r="D117" t="s">
        <v>101</v>
      </c>
      <c r="E117" t="s">
        <v>102</v>
      </c>
      <c r="F117" t="s">
        <v>103</v>
      </c>
      <c r="G117" t="s">
        <v>104</v>
      </c>
      <c r="H117" t="s">
        <v>105</v>
      </c>
      <c r="I117" s="6" t="s">
        <v>106</v>
      </c>
      <c r="J117" s="6" t="s">
        <v>107</v>
      </c>
      <c r="K117" s="6" t="s">
        <v>277</v>
      </c>
      <c r="L117" s="6" t="s">
        <v>278</v>
      </c>
      <c r="M117" s="6" t="s">
        <v>279</v>
      </c>
      <c r="N117" s="6" t="s">
        <v>280</v>
      </c>
      <c r="O117" s="6" t="s">
        <v>112</v>
      </c>
      <c r="P117" s="6" t="s">
        <v>281</v>
      </c>
      <c r="Q117" s="6" t="s">
        <v>335</v>
      </c>
      <c r="R117" t="s">
        <v>112</v>
      </c>
      <c r="S117" t="s">
        <v>336</v>
      </c>
      <c r="T117"/>
      <c r="U117"/>
      <c r="V117" t="s">
        <v>116</v>
      </c>
      <c r="W117"/>
      <c r="X117"/>
      <c r="Y117" t="s">
        <v>116</v>
      </c>
      <c r="Z117"/>
      <c r="AA117"/>
      <c r="AB117" t="s">
        <v>116</v>
      </c>
      <c r="AC117"/>
      <c r="AD117"/>
      <c r="AE117" t="s">
        <v>116</v>
      </c>
      <c r="AF117" t="s">
        <v>117</v>
      </c>
      <c r="AG117" t="s">
        <v>118</v>
      </c>
      <c r="AH117" t="s">
        <v>119</v>
      </c>
      <c r="AI117" t="s">
        <v>120</v>
      </c>
      <c r="AJ117" t="s">
        <v>121</v>
      </c>
      <c r="AK117" t="s">
        <v>122</v>
      </c>
      <c r="AL117"/>
      <c r="AM117"/>
      <c r="AN117" t="s">
        <v>116</v>
      </c>
      <c r="AO117"/>
      <c r="AP117"/>
      <c r="AQ117" t="s">
        <v>116</v>
      </c>
      <c r="AR117"/>
      <c r="AS117"/>
      <c r="AT117" t="s">
        <v>116</v>
      </c>
      <c r="AU117"/>
      <c r="AV117"/>
      <c r="AW117" t="s">
        <v>116</v>
      </c>
      <c r="AX117"/>
      <c r="AY117"/>
      <c r="AZ117" t="s">
        <v>116</v>
      </c>
      <c r="BA117"/>
      <c r="BB117"/>
      <c r="BC117" t="s">
        <v>116</v>
      </c>
      <c r="BD117"/>
      <c r="BE117"/>
      <c r="BF117" t="s">
        <v>116</v>
      </c>
      <c r="BG117"/>
      <c r="BH117"/>
      <c r="BI117" t="s">
        <v>116</v>
      </c>
      <c r="BJ117"/>
      <c r="BK117"/>
      <c r="BL117" s="8">
        <v>200</v>
      </c>
      <c r="BM117" s="8">
        <v>0</v>
      </c>
      <c r="BN117" s="8">
        <v>0</v>
      </c>
      <c r="BO117" s="8">
        <v>0</v>
      </c>
      <c r="BP117" s="8">
        <v>200</v>
      </c>
      <c r="BQ117" s="8">
        <v>0</v>
      </c>
      <c r="BR117" s="8">
        <v>0</v>
      </c>
      <c r="BS117" s="8">
        <v>0</v>
      </c>
      <c r="BT117" s="8">
        <v>0</v>
      </c>
      <c r="BU117" s="8">
        <v>0</v>
      </c>
      <c r="BV117" s="8">
        <v>0</v>
      </c>
      <c r="BW117" s="8">
        <v>0</v>
      </c>
      <c r="BX117" s="8">
        <v>0</v>
      </c>
      <c r="BY117" t="s">
        <v>99</v>
      </c>
      <c r="BZ117" t="s">
        <v>123</v>
      </c>
      <c r="CA117"/>
      <c r="CB117"/>
      <c r="CC117"/>
      <c r="CD117"/>
      <c r="CE117"/>
      <c r="CF117"/>
      <c r="CG117"/>
      <c r="CH117"/>
      <c r="CI117"/>
      <c r="CJ117"/>
      <c r="CK117"/>
      <c r="CL117"/>
      <c r="CM117"/>
      <c r="CN117"/>
      <c r="CO117"/>
      <c r="CP117"/>
      <c r="CQ117"/>
      <c r="CR117"/>
      <c r="CS117"/>
      <c r="CT117"/>
      <c r="CU117"/>
      <c r="CV117"/>
      <c r="CW117"/>
      <c r="CX117"/>
      <c r="CY117"/>
      <c r="CZ117"/>
      <c r="DA117"/>
      <c r="DB117"/>
      <c r="DC117"/>
      <c r="DD117"/>
    </row>
    <row r="118" spans="1:108" x14ac:dyDescent="0.25">
      <c r="A118" t="s">
        <v>99</v>
      </c>
      <c r="B118" t="s">
        <v>100</v>
      </c>
      <c r="C118" t="s">
        <v>5</v>
      </c>
      <c r="D118" t="s">
        <v>101</v>
      </c>
      <c r="E118" t="s">
        <v>102</v>
      </c>
      <c r="F118" t="s">
        <v>103</v>
      </c>
      <c r="G118" t="s">
        <v>104</v>
      </c>
      <c r="H118" t="s">
        <v>105</v>
      </c>
      <c r="I118" s="6" t="s">
        <v>106</v>
      </c>
      <c r="J118" s="6" t="s">
        <v>107</v>
      </c>
      <c r="K118" s="6" t="s">
        <v>277</v>
      </c>
      <c r="L118" s="6" t="s">
        <v>278</v>
      </c>
      <c r="M118" s="6" t="s">
        <v>279</v>
      </c>
      <c r="N118" s="6" t="s">
        <v>280</v>
      </c>
      <c r="O118" s="6" t="s">
        <v>112</v>
      </c>
      <c r="P118" s="6" t="s">
        <v>281</v>
      </c>
      <c r="Q118" s="6" t="s">
        <v>335</v>
      </c>
      <c r="R118" t="s">
        <v>112</v>
      </c>
      <c r="S118" t="s">
        <v>336</v>
      </c>
      <c r="T118"/>
      <c r="U118"/>
      <c r="V118" t="s">
        <v>116</v>
      </c>
      <c r="W118"/>
      <c r="X118"/>
      <c r="Y118" t="s">
        <v>116</v>
      </c>
      <c r="Z118"/>
      <c r="AA118"/>
      <c r="AB118" t="s">
        <v>116</v>
      </c>
      <c r="AC118"/>
      <c r="AD118"/>
      <c r="AE118" t="s">
        <v>116</v>
      </c>
      <c r="AF118" t="s">
        <v>117</v>
      </c>
      <c r="AG118" t="s">
        <v>118</v>
      </c>
      <c r="AH118" t="s">
        <v>119</v>
      </c>
      <c r="AI118" t="s">
        <v>120</v>
      </c>
      <c r="AJ118" t="s">
        <v>121</v>
      </c>
      <c r="AK118" t="s">
        <v>122</v>
      </c>
      <c r="AL118" t="s">
        <v>337</v>
      </c>
      <c r="AM118" t="s">
        <v>338</v>
      </c>
      <c r="AN118" t="s">
        <v>339</v>
      </c>
      <c r="AO118"/>
      <c r="AP118"/>
      <c r="AQ118" t="s">
        <v>116</v>
      </c>
      <c r="AR118"/>
      <c r="AS118"/>
      <c r="AT118" t="s">
        <v>116</v>
      </c>
      <c r="AU118"/>
      <c r="AV118"/>
      <c r="AW118" t="s">
        <v>116</v>
      </c>
      <c r="AX118"/>
      <c r="AY118"/>
      <c r="AZ118" t="s">
        <v>116</v>
      </c>
      <c r="BA118"/>
      <c r="BB118"/>
      <c r="BC118" t="s">
        <v>116</v>
      </c>
      <c r="BD118"/>
      <c r="BE118"/>
      <c r="BF118" t="s">
        <v>116</v>
      </c>
      <c r="BG118"/>
      <c r="BH118"/>
      <c r="BI118" t="s">
        <v>116</v>
      </c>
      <c r="BJ118"/>
      <c r="BK118"/>
      <c r="BL118" s="8">
        <v>0</v>
      </c>
      <c r="BM118" s="8">
        <v>172.49</v>
      </c>
      <c r="BN118" s="8">
        <v>172.49</v>
      </c>
      <c r="BO118" s="8">
        <v>0</v>
      </c>
      <c r="BP118" s="8">
        <v>-172.49</v>
      </c>
      <c r="BQ118" s="8">
        <v>0</v>
      </c>
      <c r="BR118" s="8">
        <v>0</v>
      </c>
      <c r="BS118" s="8">
        <v>0</v>
      </c>
      <c r="BT118" s="8">
        <v>0</v>
      </c>
      <c r="BU118" s="8">
        <v>0</v>
      </c>
      <c r="BV118" s="8">
        <v>0</v>
      </c>
      <c r="BW118" s="8">
        <v>0</v>
      </c>
      <c r="BX118" s="8">
        <v>0</v>
      </c>
      <c r="BY118" t="s">
        <v>99</v>
      </c>
      <c r="BZ118" t="s">
        <v>123</v>
      </c>
      <c r="CA118"/>
      <c r="CB118"/>
      <c r="CC118"/>
      <c r="CD118"/>
      <c r="CE118"/>
      <c r="CF118"/>
      <c r="CG118"/>
      <c r="CH118"/>
      <c r="CI118"/>
      <c r="CJ118"/>
      <c r="CK118"/>
      <c r="CL118"/>
      <c r="CM118"/>
      <c r="CN118"/>
      <c r="CO118"/>
      <c r="CP118"/>
      <c r="CQ118"/>
      <c r="CR118"/>
      <c r="CS118"/>
      <c r="CT118"/>
      <c r="CU118"/>
      <c r="CV118"/>
      <c r="CW118"/>
      <c r="CX118"/>
      <c r="CY118"/>
      <c r="CZ118"/>
      <c r="DA118"/>
      <c r="DB118"/>
      <c r="DC118"/>
      <c r="DD118"/>
    </row>
    <row r="119" spans="1:108" x14ac:dyDescent="0.25">
      <c r="A119" t="s">
        <v>99</v>
      </c>
      <c r="B119" t="s">
        <v>100</v>
      </c>
      <c r="C119" t="s">
        <v>5</v>
      </c>
      <c r="D119" t="s">
        <v>101</v>
      </c>
      <c r="E119" t="s">
        <v>102</v>
      </c>
      <c r="F119" t="s">
        <v>103</v>
      </c>
      <c r="G119" t="s">
        <v>104</v>
      </c>
      <c r="H119" t="s">
        <v>105</v>
      </c>
      <c r="I119" s="6" t="s">
        <v>106</v>
      </c>
      <c r="J119" s="6" t="s">
        <v>107</v>
      </c>
      <c r="K119" s="6" t="s">
        <v>277</v>
      </c>
      <c r="L119" s="6" t="s">
        <v>278</v>
      </c>
      <c r="M119" s="6" t="s">
        <v>279</v>
      </c>
      <c r="N119" s="6" t="s">
        <v>280</v>
      </c>
      <c r="O119" s="6" t="s">
        <v>112</v>
      </c>
      <c r="P119" s="6" t="s">
        <v>281</v>
      </c>
      <c r="Q119" s="6" t="s">
        <v>340</v>
      </c>
      <c r="R119" t="s">
        <v>112</v>
      </c>
      <c r="S119" t="s">
        <v>341</v>
      </c>
      <c r="T119"/>
      <c r="U119"/>
      <c r="V119" t="s">
        <v>116</v>
      </c>
      <c r="W119"/>
      <c r="X119"/>
      <c r="Y119" t="s">
        <v>116</v>
      </c>
      <c r="Z119"/>
      <c r="AA119"/>
      <c r="AB119" t="s">
        <v>116</v>
      </c>
      <c r="AC119"/>
      <c r="AD119"/>
      <c r="AE119" t="s">
        <v>116</v>
      </c>
      <c r="AF119" t="s">
        <v>117</v>
      </c>
      <c r="AG119" t="s">
        <v>118</v>
      </c>
      <c r="AH119" t="s">
        <v>119</v>
      </c>
      <c r="AI119" t="s">
        <v>120</v>
      </c>
      <c r="AJ119" t="s">
        <v>121</v>
      </c>
      <c r="AK119" t="s">
        <v>122</v>
      </c>
      <c r="AL119"/>
      <c r="AM119"/>
      <c r="AN119" t="s">
        <v>116</v>
      </c>
      <c r="AO119"/>
      <c r="AP119"/>
      <c r="AQ119" t="s">
        <v>116</v>
      </c>
      <c r="AR119"/>
      <c r="AS119"/>
      <c r="AT119" t="s">
        <v>116</v>
      </c>
      <c r="AU119"/>
      <c r="AV119"/>
      <c r="AW119" t="s">
        <v>116</v>
      </c>
      <c r="AX119"/>
      <c r="AY119"/>
      <c r="AZ119" t="s">
        <v>116</v>
      </c>
      <c r="BA119"/>
      <c r="BB119"/>
      <c r="BC119" t="s">
        <v>116</v>
      </c>
      <c r="BD119"/>
      <c r="BE119"/>
      <c r="BF119" t="s">
        <v>116</v>
      </c>
      <c r="BG119"/>
      <c r="BH119"/>
      <c r="BI119" t="s">
        <v>116</v>
      </c>
      <c r="BJ119"/>
      <c r="BK119"/>
      <c r="BL119" s="8">
        <v>12663.66</v>
      </c>
      <c r="BM119" s="8">
        <v>0</v>
      </c>
      <c r="BN119" s="8">
        <v>0</v>
      </c>
      <c r="BO119" s="8">
        <v>0</v>
      </c>
      <c r="BP119" s="8">
        <v>12663.66</v>
      </c>
      <c r="BQ119" s="8">
        <v>0</v>
      </c>
      <c r="BR119" s="8">
        <v>0</v>
      </c>
      <c r="BS119" s="8">
        <v>0</v>
      </c>
      <c r="BT119" s="8">
        <v>0</v>
      </c>
      <c r="BU119" s="8">
        <v>0</v>
      </c>
      <c r="BV119" s="8">
        <v>0</v>
      </c>
      <c r="BW119" s="8">
        <v>0</v>
      </c>
      <c r="BX119" s="8">
        <v>0</v>
      </c>
      <c r="BY119" t="s">
        <v>99</v>
      </c>
      <c r="BZ119" t="s">
        <v>123</v>
      </c>
      <c r="CA119"/>
      <c r="CB119"/>
      <c r="CC119"/>
      <c r="CD119"/>
      <c r="CE119"/>
      <c r="CF119"/>
      <c r="CG119"/>
      <c r="CH119"/>
      <c r="CI119"/>
      <c r="CJ119"/>
      <c r="CK119"/>
      <c r="CL119"/>
      <c r="CM119"/>
      <c r="CN119"/>
      <c r="CO119"/>
      <c r="CP119"/>
      <c r="CQ119"/>
      <c r="CR119"/>
      <c r="CS119"/>
      <c r="CT119"/>
      <c r="CU119"/>
      <c r="CV119"/>
      <c r="CW119"/>
      <c r="CX119"/>
      <c r="CY119"/>
      <c r="CZ119"/>
      <c r="DA119"/>
      <c r="DB119"/>
      <c r="DC119"/>
      <c r="DD119"/>
    </row>
    <row r="120" spans="1:108" x14ac:dyDescent="0.25">
      <c r="A120" t="s">
        <v>99</v>
      </c>
      <c r="B120" t="s">
        <v>100</v>
      </c>
      <c r="C120" t="s">
        <v>5</v>
      </c>
      <c r="D120" t="s">
        <v>101</v>
      </c>
      <c r="E120" t="s">
        <v>102</v>
      </c>
      <c r="F120" t="s">
        <v>103</v>
      </c>
      <c r="G120" t="s">
        <v>104</v>
      </c>
      <c r="H120" t="s">
        <v>105</v>
      </c>
      <c r="I120" s="6" t="s">
        <v>106</v>
      </c>
      <c r="J120" s="6" t="s">
        <v>107</v>
      </c>
      <c r="K120" s="6" t="s">
        <v>277</v>
      </c>
      <c r="L120" s="6" t="s">
        <v>278</v>
      </c>
      <c r="M120" s="6" t="s">
        <v>279</v>
      </c>
      <c r="N120" s="6" t="s">
        <v>280</v>
      </c>
      <c r="O120" s="6" t="s">
        <v>112</v>
      </c>
      <c r="P120" s="6" t="s">
        <v>281</v>
      </c>
      <c r="Q120" s="6" t="s">
        <v>340</v>
      </c>
      <c r="R120" t="s">
        <v>112</v>
      </c>
      <c r="S120" t="s">
        <v>341</v>
      </c>
      <c r="T120"/>
      <c r="U120"/>
      <c r="V120" t="s">
        <v>116</v>
      </c>
      <c r="W120"/>
      <c r="X120"/>
      <c r="Y120" t="s">
        <v>116</v>
      </c>
      <c r="Z120"/>
      <c r="AA120"/>
      <c r="AB120" t="s">
        <v>116</v>
      </c>
      <c r="AC120"/>
      <c r="AD120"/>
      <c r="AE120" t="s">
        <v>116</v>
      </c>
      <c r="AF120" t="s">
        <v>117</v>
      </c>
      <c r="AG120" t="s">
        <v>118</v>
      </c>
      <c r="AH120" t="s">
        <v>119</v>
      </c>
      <c r="AI120" t="s">
        <v>120</v>
      </c>
      <c r="AJ120" t="s">
        <v>121</v>
      </c>
      <c r="AK120" t="s">
        <v>122</v>
      </c>
      <c r="AL120" t="s">
        <v>164</v>
      </c>
      <c r="AM120" t="s">
        <v>165</v>
      </c>
      <c r="AN120" t="s">
        <v>166</v>
      </c>
      <c r="AO120"/>
      <c r="AP120"/>
      <c r="AQ120" t="s">
        <v>116</v>
      </c>
      <c r="AR120"/>
      <c r="AS120"/>
      <c r="AT120" t="s">
        <v>116</v>
      </c>
      <c r="AU120"/>
      <c r="AV120"/>
      <c r="AW120" t="s">
        <v>116</v>
      </c>
      <c r="AX120"/>
      <c r="AY120"/>
      <c r="AZ120" t="s">
        <v>116</v>
      </c>
      <c r="BA120"/>
      <c r="BB120"/>
      <c r="BC120" t="s">
        <v>116</v>
      </c>
      <c r="BD120"/>
      <c r="BE120"/>
      <c r="BF120" t="s">
        <v>116</v>
      </c>
      <c r="BG120"/>
      <c r="BH120"/>
      <c r="BI120" t="s">
        <v>116</v>
      </c>
      <c r="BJ120"/>
      <c r="BK120"/>
      <c r="BL120" s="8">
        <v>0</v>
      </c>
      <c r="BM120" s="8">
        <v>7553.03</v>
      </c>
      <c r="BN120" s="8">
        <v>7553.03</v>
      </c>
      <c r="BO120" s="8">
        <v>0</v>
      </c>
      <c r="BP120" s="8">
        <v>-7553.03</v>
      </c>
      <c r="BQ120" s="8">
        <v>0</v>
      </c>
      <c r="BR120" s="8">
        <v>0</v>
      </c>
      <c r="BS120" s="8">
        <v>0</v>
      </c>
      <c r="BT120" s="8">
        <v>0</v>
      </c>
      <c r="BU120" s="8">
        <v>0</v>
      </c>
      <c r="BV120" s="8">
        <v>0</v>
      </c>
      <c r="BW120" s="8">
        <v>0</v>
      </c>
      <c r="BX120" s="8">
        <v>0</v>
      </c>
      <c r="BY120" t="s">
        <v>99</v>
      </c>
      <c r="BZ120" t="s">
        <v>123</v>
      </c>
      <c r="CA120"/>
      <c r="CB120"/>
      <c r="CC120"/>
      <c r="CD120"/>
      <c r="CE120"/>
      <c r="CF120"/>
      <c r="CG120"/>
      <c r="CH120"/>
      <c r="CI120"/>
      <c r="CJ120"/>
      <c r="CK120"/>
      <c r="CL120"/>
      <c r="CM120"/>
      <c r="CN120"/>
      <c r="CO120"/>
      <c r="CP120"/>
      <c r="CQ120"/>
      <c r="CR120"/>
      <c r="CS120"/>
      <c r="CT120"/>
      <c r="CU120"/>
      <c r="CV120"/>
      <c r="CW120"/>
      <c r="CX120"/>
      <c r="CY120"/>
      <c r="CZ120"/>
      <c r="DA120"/>
      <c r="DB120"/>
      <c r="DC120"/>
      <c r="DD120"/>
    </row>
    <row r="121" spans="1:108" x14ac:dyDescent="0.25">
      <c r="A121" t="s">
        <v>99</v>
      </c>
      <c r="B121" t="s">
        <v>100</v>
      </c>
      <c r="C121" t="s">
        <v>5</v>
      </c>
      <c r="D121" t="s">
        <v>101</v>
      </c>
      <c r="E121" t="s">
        <v>102</v>
      </c>
      <c r="F121" t="s">
        <v>103</v>
      </c>
      <c r="G121" t="s">
        <v>104</v>
      </c>
      <c r="H121" t="s">
        <v>105</v>
      </c>
      <c r="I121" s="6" t="s">
        <v>106</v>
      </c>
      <c r="J121" s="6" t="s">
        <v>107</v>
      </c>
      <c r="K121" s="6" t="s">
        <v>277</v>
      </c>
      <c r="L121" s="6" t="s">
        <v>278</v>
      </c>
      <c r="M121" s="6" t="s">
        <v>279</v>
      </c>
      <c r="N121" s="6" t="s">
        <v>342</v>
      </c>
      <c r="O121" s="6" t="s">
        <v>112</v>
      </c>
      <c r="P121" s="6" t="s">
        <v>343</v>
      </c>
      <c r="Q121" s="6" t="s">
        <v>344</v>
      </c>
      <c r="R121" t="s">
        <v>112</v>
      </c>
      <c r="S121" t="s">
        <v>345</v>
      </c>
      <c r="T121"/>
      <c r="U121"/>
      <c r="V121" t="s">
        <v>116</v>
      </c>
      <c r="W121"/>
      <c r="X121"/>
      <c r="Y121" t="s">
        <v>116</v>
      </c>
      <c r="Z121"/>
      <c r="AA121"/>
      <c r="AB121" t="s">
        <v>116</v>
      </c>
      <c r="AC121"/>
      <c r="AD121"/>
      <c r="AE121" t="s">
        <v>116</v>
      </c>
      <c r="AF121" t="s">
        <v>117</v>
      </c>
      <c r="AG121" t="s">
        <v>118</v>
      </c>
      <c r="AH121" t="s">
        <v>119</v>
      </c>
      <c r="AI121" t="s">
        <v>120</v>
      </c>
      <c r="AJ121" t="s">
        <v>121</v>
      </c>
      <c r="AK121" t="s">
        <v>122</v>
      </c>
      <c r="AL121"/>
      <c r="AM121"/>
      <c r="AN121" t="s">
        <v>116</v>
      </c>
      <c r="AO121"/>
      <c r="AP121"/>
      <c r="AQ121" t="s">
        <v>116</v>
      </c>
      <c r="AR121"/>
      <c r="AS121"/>
      <c r="AT121" t="s">
        <v>116</v>
      </c>
      <c r="AU121"/>
      <c r="AV121"/>
      <c r="AW121" t="s">
        <v>116</v>
      </c>
      <c r="AX121"/>
      <c r="AY121"/>
      <c r="AZ121" t="s">
        <v>116</v>
      </c>
      <c r="BA121"/>
      <c r="BB121"/>
      <c r="BC121" t="s">
        <v>116</v>
      </c>
      <c r="BD121"/>
      <c r="BE121"/>
      <c r="BF121" t="s">
        <v>116</v>
      </c>
      <c r="BG121"/>
      <c r="BH121"/>
      <c r="BI121" t="s">
        <v>116</v>
      </c>
      <c r="BJ121"/>
      <c r="BK121"/>
      <c r="BL121" s="8">
        <v>2802.53</v>
      </c>
      <c r="BM121" s="8">
        <v>0</v>
      </c>
      <c r="BN121" s="8">
        <v>0</v>
      </c>
      <c r="BO121" s="8">
        <v>0</v>
      </c>
      <c r="BP121" s="8">
        <v>2802.53</v>
      </c>
      <c r="BQ121" s="8">
        <v>0</v>
      </c>
      <c r="BR121" s="8">
        <v>0</v>
      </c>
      <c r="BS121" s="8">
        <v>0</v>
      </c>
      <c r="BT121" s="8">
        <v>0</v>
      </c>
      <c r="BU121" s="8">
        <v>0</v>
      </c>
      <c r="BV121" s="8">
        <v>0</v>
      </c>
      <c r="BW121" s="8">
        <v>0</v>
      </c>
      <c r="BX121" s="8">
        <v>0</v>
      </c>
      <c r="BY121" t="s">
        <v>99</v>
      </c>
      <c r="BZ121" t="s">
        <v>123</v>
      </c>
      <c r="CA121"/>
      <c r="CB121"/>
      <c r="CC121"/>
      <c r="CD121"/>
      <c r="CE121"/>
      <c r="CF121"/>
      <c r="CG121"/>
      <c r="CH121"/>
      <c r="CI121"/>
      <c r="CJ121"/>
      <c r="CK121"/>
      <c r="CL121"/>
      <c r="CM121"/>
      <c r="CN121"/>
      <c r="CO121"/>
      <c r="CP121"/>
      <c r="CQ121"/>
      <c r="CR121"/>
      <c r="CS121"/>
      <c r="CT121"/>
      <c r="CU121"/>
      <c r="CV121"/>
      <c r="CW121"/>
      <c r="CX121"/>
      <c r="CY121"/>
      <c r="CZ121"/>
      <c r="DA121"/>
      <c r="DB121"/>
      <c r="DC121"/>
      <c r="DD121"/>
    </row>
    <row r="122" spans="1:108" x14ac:dyDescent="0.25">
      <c r="A122" t="s">
        <v>99</v>
      </c>
      <c r="B122" t="s">
        <v>100</v>
      </c>
      <c r="C122" t="s">
        <v>5</v>
      </c>
      <c r="D122" t="s">
        <v>101</v>
      </c>
      <c r="E122" t="s">
        <v>102</v>
      </c>
      <c r="F122" t="s">
        <v>103</v>
      </c>
      <c r="G122" t="s">
        <v>104</v>
      </c>
      <c r="H122" t="s">
        <v>105</v>
      </c>
      <c r="I122" s="6" t="s">
        <v>106</v>
      </c>
      <c r="J122" s="6" t="s">
        <v>107</v>
      </c>
      <c r="K122" s="6" t="s">
        <v>277</v>
      </c>
      <c r="L122" s="6" t="s">
        <v>278</v>
      </c>
      <c r="M122" s="6" t="s">
        <v>279</v>
      </c>
      <c r="N122" s="6" t="s">
        <v>346</v>
      </c>
      <c r="O122" s="6" t="s">
        <v>112</v>
      </c>
      <c r="P122" s="6" t="s">
        <v>347</v>
      </c>
      <c r="Q122" s="6" t="s">
        <v>348</v>
      </c>
      <c r="R122" t="s">
        <v>112</v>
      </c>
      <c r="S122" t="s">
        <v>349</v>
      </c>
      <c r="T122"/>
      <c r="U122"/>
      <c r="V122" t="s">
        <v>116</v>
      </c>
      <c r="W122"/>
      <c r="X122"/>
      <c r="Y122" t="s">
        <v>116</v>
      </c>
      <c r="Z122"/>
      <c r="AA122"/>
      <c r="AB122" t="s">
        <v>116</v>
      </c>
      <c r="AC122"/>
      <c r="AD122"/>
      <c r="AE122" t="s">
        <v>116</v>
      </c>
      <c r="AF122" t="s">
        <v>117</v>
      </c>
      <c r="AG122" t="s">
        <v>118</v>
      </c>
      <c r="AH122" t="s">
        <v>119</v>
      </c>
      <c r="AI122" t="s">
        <v>120</v>
      </c>
      <c r="AJ122" t="s">
        <v>121</v>
      </c>
      <c r="AK122" t="s">
        <v>122</v>
      </c>
      <c r="AL122"/>
      <c r="AM122"/>
      <c r="AN122" t="s">
        <v>116</v>
      </c>
      <c r="AO122"/>
      <c r="AP122"/>
      <c r="AQ122" t="s">
        <v>116</v>
      </c>
      <c r="AR122"/>
      <c r="AS122"/>
      <c r="AT122" t="s">
        <v>116</v>
      </c>
      <c r="AU122"/>
      <c r="AV122"/>
      <c r="AW122" t="s">
        <v>116</v>
      </c>
      <c r="AX122"/>
      <c r="AY122"/>
      <c r="AZ122" t="s">
        <v>116</v>
      </c>
      <c r="BA122"/>
      <c r="BB122"/>
      <c r="BC122" t="s">
        <v>116</v>
      </c>
      <c r="BD122"/>
      <c r="BE122"/>
      <c r="BF122" t="s">
        <v>116</v>
      </c>
      <c r="BG122"/>
      <c r="BH122"/>
      <c r="BI122" t="s">
        <v>116</v>
      </c>
      <c r="BJ122"/>
      <c r="BK122"/>
      <c r="BL122" s="8">
        <v>6812</v>
      </c>
      <c r="BM122" s="8">
        <v>0</v>
      </c>
      <c r="BN122" s="8">
        <v>0</v>
      </c>
      <c r="BO122" s="8">
        <v>0</v>
      </c>
      <c r="BP122" s="8">
        <v>6812</v>
      </c>
      <c r="BQ122" s="8">
        <v>0</v>
      </c>
      <c r="BR122" s="8">
        <v>0</v>
      </c>
      <c r="BS122" s="8">
        <v>0</v>
      </c>
      <c r="BT122" s="8">
        <v>0</v>
      </c>
      <c r="BU122" s="8">
        <v>0</v>
      </c>
      <c r="BV122" s="8">
        <v>0</v>
      </c>
      <c r="BW122" s="8">
        <v>0</v>
      </c>
      <c r="BX122" s="8">
        <v>0</v>
      </c>
      <c r="BY122" t="s">
        <v>99</v>
      </c>
      <c r="BZ122" t="s">
        <v>123</v>
      </c>
      <c r="CA122"/>
      <c r="CB122"/>
      <c r="CC122"/>
      <c r="CD122"/>
      <c r="CE122"/>
      <c r="CF122"/>
      <c r="CG122"/>
      <c r="CH122"/>
      <c r="CI122"/>
      <c r="CJ122"/>
      <c r="CK122"/>
      <c r="CL122"/>
      <c r="CM122"/>
      <c r="CN122"/>
      <c r="CO122"/>
      <c r="CP122"/>
      <c r="CQ122"/>
      <c r="CR122"/>
      <c r="CS122"/>
      <c r="CT122"/>
      <c r="CU122"/>
      <c r="CV122"/>
      <c r="CW122"/>
      <c r="CX122"/>
      <c r="CY122"/>
      <c r="CZ122"/>
      <c r="DA122"/>
      <c r="DB122"/>
      <c r="DC122"/>
      <c r="DD122"/>
    </row>
    <row r="123" spans="1:108" x14ac:dyDescent="0.25">
      <c r="A123" t="s">
        <v>99</v>
      </c>
      <c r="B123" t="s">
        <v>100</v>
      </c>
      <c r="C123" t="s">
        <v>5</v>
      </c>
      <c r="D123" t="s">
        <v>101</v>
      </c>
      <c r="E123" t="s">
        <v>102</v>
      </c>
      <c r="F123" t="s">
        <v>103</v>
      </c>
      <c r="G123" t="s">
        <v>104</v>
      </c>
      <c r="H123" t="s">
        <v>105</v>
      </c>
      <c r="I123" s="6" t="s">
        <v>106</v>
      </c>
      <c r="J123" s="6" t="s">
        <v>107</v>
      </c>
      <c r="K123" s="6" t="s">
        <v>277</v>
      </c>
      <c r="L123" s="6" t="s">
        <v>278</v>
      </c>
      <c r="M123" s="6" t="s">
        <v>279</v>
      </c>
      <c r="N123" s="6" t="s">
        <v>346</v>
      </c>
      <c r="O123" s="6" t="s">
        <v>112</v>
      </c>
      <c r="P123" s="6" t="s">
        <v>347</v>
      </c>
      <c r="Q123" s="6" t="s">
        <v>348</v>
      </c>
      <c r="R123" t="s">
        <v>112</v>
      </c>
      <c r="S123" t="s">
        <v>349</v>
      </c>
      <c r="T123"/>
      <c r="U123"/>
      <c r="V123" t="s">
        <v>116</v>
      </c>
      <c r="W123"/>
      <c r="X123"/>
      <c r="Y123" t="s">
        <v>116</v>
      </c>
      <c r="Z123"/>
      <c r="AA123"/>
      <c r="AB123" t="s">
        <v>116</v>
      </c>
      <c r="AC123"/>
      <c r="AD123"/>
      <c r="AE123" t="s">
        <v>116</v>
      </c>
      <c r="AF123" t="s">
        <v>117</v>
      </c>
      <c r="AG123" t="s">
        <v>118</v>
      </c>
      <c r="AH123" t="s">
        <v>119</v>
      </c>
      <c r="AI123" t="s">
        <v>120</v>
      </c>
      <c r="AJ123" t="s">
        <v>121</v>
      </c>
      <c r="AK123" t="s">
        <v>122</v>
      </c>
      <c r="AL123" t="s">
        <v>350</v>
      </c>
      <c r="AM123" t="s">
        <v>351</v>
      </c>
      <c r="AN123" t="s">
        <v>352</v>
      </c>
      <c r="AO123"/>
      <c r="AP123"/>
      <c r="AQ123" t="s">
        <v>116</v>
      </c>
      <c r="AR123"/>
      <c r="AS123"/>
      <c r="AT123" t="s">
        <v>116</v>
      </c>
      <c r="AU123"/>
      <c r="AV123"/>
      <c r="AW123" t="s">
        <v>116</v>
      </c>
      <c r="AX123"/>
      <c r="AY123"/>
      <c r="AZ123" t="s">
        <v>116</v>
      </c>
      <c r="BA123"/>
      <c r="BB123"/>
      <c r="BC123" t="s">
        <v>116</v>
      </c>
      <c r="BD123"/>
      <c r="BE123"/>
      <c r="BF123" t="s">
        <v>116</v>
      </c>
      <c r="BG123"/>
      <c r="BH123"/>
      <c r="BI123" t="s">
        <v>116</v>
      </c>
      <c r="BJ123"/>
      <c r="BK123"/>
      <c r="BL123" s="8">
        <v>0</v>
      </c>
      <c r="BM123" s="8">
        <v>235.1</v>
      </c>
      <c r="BN123" s="8">
        <v>235.1</v>
      </c>
      <c r="BO123" s="8">
        <v>0</v>
      </c>
      <c r="BP123" s="8">
        <v>-235.1</v>
      </c>
      <c r="BQ123" s="8">
        <v>0</v>
      </c>
      <c r="BR123" s="8">
        <v>0</v>
      </c>
      <c r="BS123" s="8">
        <v>0</v>
      </c>
      <c r="BT123" s="8">
        <v>0</v>
      </c>
      <c r="BU123" s="8">
        <v>0</v>
      </c>
      <c r="BV123" s="8">
        <v>0</v>
      </c>
      <c r="BW123" s="8">
        <v>0</v>
      </c>
      <c r="BX123" s="8">
        <v>0</v>
      </c>
      <c r="BY123" t="s">
        <v>99</v>
      </c>
      <c r="BZ123" t="s">
        <v>123</v>
      </c>
      <c r="CA123"/>
      <c r="CB123"/>
      <c r="CC123"/>
      <c r="CD123"/>
      <c r="CE123"/>
      <c r="CF123"/>
      <c r="CG123"/>
      <c r="CH123"/>
      <c r="CI123"/>
      <c r="CJ123"/>
      <c r="CK123"/>
      <c r="CL123"/>
      <c r="CM123"/>
      <c r="CN123"/>
      <c r="CO123"/>
      <c r="CP123"/>
      <c r="CQ123"/>
      <c r="CR123"/>
      <c r="CS123"/>
      <c r="CT123"/>
      <c r="CU123"/>
      <c r="CV123"/>
      <c r="CW123"/>
      <c r="CX123"/>
      <c r="CY123"/>
      <c r="CZ123"/>
      <c r="DA123"/>
      <c r="DB123"/>
      <c r="DC123"/>
      <c r="DD123"/>
    </row>
    <row r="124" spans="1:108" x14ac:dyDescent="0.25">
      <c r="A124" t="s">
        <v>99</v>
      </c>
      <c r="B124" t="s">
        <v>100</v>
      </c>
      <c r="C124" t="s">
        <v>5</v>
      </c>
      <c r="D124" t="s">
        <v>101</v>
      </c>
      <c r="E124" t="s">
        <v>102</v>
      </c>
      <c r="F124" t="s">
        <v>103</v>
      </c>
      <c r="G124" t="s">
        <v>104</v>
      </c>
      <c r="H124" t="s">
        <v>105</v>
      </c>
      <c r="I124" s="6" t="s">
        <v>106</v>
      </c>
      <c r="J124" s="6" t="s">
        <v>107</v>
      </c>
      <c r="K124" s="6" t="s">
        <v>277</v>
      </c>
      <c r="L124" s="6" t="s">
        <v>278</v>
      </c>
      <c r="M124" s="6" t="s">
        <v>279</v>
      </c>
      <c r="N124" s="6" t="s">
        <v>346</v>
      </c>
      <c r="O124" s="6" t="s">
        <v>112</v>
      </c>
      <c r="P124" s="6" t="s">
        <v>347</v>
      </c>
      <c r="Q124" s="6" t="s">
        <v>348</v>
      </c>
      <c r="R124" t="s">
        <v>112</v>
      </c>
      <c r="S124" t="s">
        <v>349</v>
      </c>
      <c r="T124"/>
      <c r="U124"/>
      <c r="V124" t="s">
        <v>116</v>
      </c>
      <c r="W124"/>
      <c r="X124"/>
      <c r="Y124" t="s">
        <v>116</v>
      </c>
      <c r="Z124"/>
      <c r="AA124"/>
      <c r="AB124" t="s">
        <v>116</v>
      </c>
      <c r="AC124"/>
      <c r="AD124"/>
      <c r="AE124" t="s">
        <v>116</v>
      </c>
      <c r="AF124" t="s">
        <v>117</v>
      </c>
      <c r="AG124" t="s">
        <v>118</v>
      </c>
      <c r="AH124" t="s">
        <v>119</v>
      </c>
      <c r="AI124" t="s">
        <v>120</v>
      </c>
      <c r="AJ124" t="s">
        <v>121</v>
      </c>
      <c r="AK124" t="s">
        <v>122</v>
      </c>
      <c r="AL124" t="s">
        <v>353</v>
      </c>
      <c r="AM124" t="s">
        <v>354</v>
      </c>
      <c r="AN124" t="s">
        <v>355</v>
      </c>
      <c r="AO124"/>
      <c r="AP124"/>
      <c r="AQ124" t="s">
        <v>116</v>
      </c>
      <c r="AR124"/>
      <c r="AS124"/>
      <c r="AT124" t="s">
        <v>116</v>
      </c>
      <c r="AU124"/>
      <c r="AV124"/>
      <c r="AW124" t="s">
        <v>116</v>
      </c>
      <c r="AX124"/>
      <c r="AY124"/>
      <c r="AZ124" t="s">
        <v>116</v>
      </c>
      <c r="BA124"/>
      <c r="BB124"/>
      <c r="BC124" t="s">
        <v>116</v>
      </c>
      <c r="BD124"/>
      <c r="BE124"/>
      <c r="BF124" t="s">
        <v>116</v>
      </c>
      <c r="BG124"/>
      <c r="BH124"/>
      <c r="BI124" t="s">
        <v>116</v>
      </c>
      <c r="BJ124"/>
      <c r="BK124"/>
      <c r="BL124" s="8">
        <v>0</v>
      </c>
      <c r="BM124" s="8">
        <v>1621.04</v>
      </c>
      <c r="BN124" s="8">
        <v>1621.04</v>
      </c>
      <c r="BO124" s="8">
        <v>0</v>
      </c>
      <c r="BP124" s="8">
        <v>-1621.04</v>
      </c>
      <c r="BQ124" s="8">
        <v>0</v>
      </c>
      <c r="BR124" s="8">
        <v>0</v>
      </c>
      <c r="BS124" s="8">
        <v>0</v>
      </c>
      <c r="BT124" s="8">
        <v>0</v>
      </c>
      <c r="BU124" s="8">
        <v>0</v>
      </c>
      <c r="BV124" s="8">
        <v>0</v>
      </c>
      <c r="BW124" s="8">
        <v>0</v>
      </c>
      <c r="BX124" s="8">
        <v>0</v>
      </c>
      <c r="BY124" t="s">
        <v>99</v>
      </c>
      <c r="BZ124" t="s">
        <v>123</v>
      </c>
      <c r="CA124"/>
      <c r="CB124"/>
      <c r="CC124"/>
      <c r="CD124"/>
      <c r="CE124"/>
      <c r="CF124"/>
      <c r="CG124"/>
      <c r="CH124"/>
      <c r="CI124"/>
      <c r="CJ124"/>
      <c r="CK124"/>
      <c r="CL124"/>
      <c r="CM124"/>
      <c r="CN124"/>
      <c r="CO124"/>
      <c r="CP124"/>
      <c r="CQ124"/>
      <c r="CR124"/>
      <c r="CS124"/>
      <c r="CT124"/>
      <c r="CU124"/>
      <c r="CV124"/>
      <c r="CW124"/>
      <c r="CX124"/>
      <c r="CY124"/>
      <c r="CZ124"/>
      <c r="DA124"/>
      <c r="DB124"/>
      <c r="DC124"/>
      <c r="DD124"/>
    </row>
    <row r="125" spans="1:108" x14ac:dyDescent="0.25">
      <c r="A125" t="s">
        <v>99</v>
      </c>
      <c r="B125" t="s">
        <v>100</v>
      </c>
      <c r="C125" t="s">
        <v>5</v>
      </c>
      <c r="D125" t="s">
        <v>101</v>
      </c>
      <c r="E125" t="s">
        <v>102</v>
      </c>
      <c r="F125" t="s">
        <v>103</v>
      </c>
      <c r="G125" t="s">
        <v>104</v>
      </c>
      <c r="H125" t="s">
        <v>105</v>
      </c>
      <c r="I125" s="6" t="s">
        <v>106</v>
      </c>
      <c r="J125" s="6" t="s">
        <v>107</v>
      </c>
      <c r="K125" s="6" t="s">
        <v>277</v>
      </c>
      <c r="L125" s="6" t="s">
        <v>278</v>
      </c>
      <c r="M125" s="6" t="s">
        <v>279</v>
      </c>
      <c r="N125" s="6" t="s">
        <v>346</v>
      </c>
      <c r="O125" s="6" t="s">
        <v>112</v>
      </c>
      <c r="P125" s="6" t="s">
        <v>347</v>
      </c>
      <c r="Q125" s="6" t="s">
        <v>348</v>
      </c>
      <c r="R125" t="s">
        <v>112</v>
      </c>
      <c r="S125" t="s">
        <v>349</v>
      </c>
      <c r="T125"/>
      <c r="U125"/>
      <c r="V125" t="s">
        <v>116</v>
      </c>
      <c r="W125"/>
      <c r="X125"/>
      <c r="Y125" t="s">
        <v>116</v>
      </c>
      <c r="Z125"/>
      <c r="AA125"/>
      <c r="AB125" t="s">
        <v>116</v>
      </c>
      <c r="AC125"/>
      <c r="AD125"/>
      <c r="AE125" t="s">
        <v>116</v>
      </c>
      <c r="AF125" t="s">
        <v>117</v>
      </c>
      <c r="AG125" t="s">
        <v>118</v>
      </c>
      <c r="AH125" t="s">
        <v>119</v>
      </c>
      <c r="AI125" t="s">
        <v>120</v>
      </c>
      <c r="AJ125" t="s">
        <v>121</v>
      </c>
      <c r="AK125" t="s">
        <v>122</v>
      </c>
      <c r="AL125" t="s">
        <v>164</v>
      </c>
      <c r="AM125" t="s">
        <v>165</v>
      </c>
      <c r="AN125" t="s">
        <v>166</v>
      </c>
      <c r="AO125"/>
      <c r="AP125"/>
      <c r="AQ125" t="s">
        <v>116</v>
      </c>
      <c r="AR125"/>
      <c r="AS125"/>
      <c r="AT125" t="s">
        <v>116</v>
      </c>
      <c r="AU125"/>
      <c r="AV125"/>
      <c r="AW125" t="s">
        <v>116</v>
      </c>
      <c r="AX125"/>
      <c r="AY125"/>
      <c r="AZ125" t="s">
        <v>116</v>
      </c>
      <c r="BA125"/>
      <c r="BB125"/>
      <c r="BC125" t="s">
        <v>116</v>
      </c>
      <c r="BD125"/>
      <c r="BE125"/>
      <c r="BF125" t="s">
        <v>116</v>
      </c>
      <c r="BG125"/>
      <c r="BH125"/>
      <c r="BI125" t="s">
        <v>116</v>
      </c>
      <c r="BJ125"/>
      <c r="BK125"/>
      <c r="BL125" s="8">
        <v>0</v>
      </c>
      <c r="BM125" s="8">
        <v>2037.19</v>
      </c>
      <c r="BN125" s="8">
        <v>2037.19</v>
      </c>
      <c r="BO125" s="8">
        <v>0</v>
      </c>
      <c r="BP125" s="8">
        <v>-2037.19</v>
      </c>
      <c r="BQ125" s="8">
        <v>0</v>
      </c>
      <c r="BR125" s="8">
        <v>0</v>
      </c>
      <c r="BS125" s="8">
        <v>0</v>
      </c>
      <c r="BT125" s="8">
        <v>0</v>
      </c>
      <c r="BU125" s="8">
        <v>0</v>
      </c>
      <c r="BV125" s="8">
        <v>0</v>
      </c>
      <c r="BW125" s="8">
        <v>0</v>
      </c>
      <c r="BX125" s="8">
        <v>0</v>
      </c>
      <c r="BY125" t="s">
        <v>99</v>
      </c>
      <c r="BZ125" t="s">
        <v>123</v>
      </c>
      <c r="CA125"/>
      <c r="CB125"/>
      <c r="CC125"/>
      <c r="CD125"/>
      <c r="CE125"/>
      <c r="CF125"/>
      <c r="CG125"/>
      <c r="CH125"/>
      <c r="CI125"/>
      <c r="CJ125"/>
      <c r="CK125"/>
      <c r="CL125"/>
      <c r="CM125"/>
      <c r="CN125"/>
      <c r="CO125"/>
      <c r="CP125"/>
      <c r="CQ125"/>
      <c r="CR125"/>
      <c r="CS125"/>
      <c r="CT125"/>
      <c r="CU125"/>
      <c r="CV125"/>
      <c r="CW125"/>
      <c r="CX125"/>
      <c r="CY125"/>
      <c r="CZ125"/>
      <c r="DA125"/>
      <c r="DB125"/>
      <c r="DC125"/>
      <c r="DD125"/>
    </row>
    <row r="126" spans="1:108" x14ac:dyDescent="0.25">
      <c r="A126" t="s">
        <v>99</v>
      </c>
      <c r="B126" t="s">
        <v>100</v>
      </c>
      <c r="C126" t="s">
        <v>5</v>
      </c>
      <c r="D126" t="s">
        <v>101</v>
      </c>
      <c r="E126" t="s">
        <v>102</v>
      </c>
      <c r="F126" t="s">
        <v>103</v>
      </c>
      <c r="G126" t="s">
        <v>104</v>
      </c>
      <c r="H126" t="s">
        <v>105</v>
      </c>
      <c r="I126" s="6" t="s">
        <v>106</v>
      </c>
      <c r="J126" s="6" t="s">
        <v>107</v>
      </c>
      <c r="K126" s="6" t="s">
        <v>277</v>
      </c>
      <c r="L126" s="6" t="s">
        <v>278</v>
      </c>
      <c r="M126" s="6" t="s">
        <v>279</v>
      </c>
      <c r="N126" s="6" t="s">
        <v>346</v>
      </c>
      <c r="O126" s="6" t="s">
        <v>112</v>
      </c>
      <c r="P126" s="6" t="s">
        <v>347</v>
      </c>
      <c r="Q126" s="6" t="s">
        <v>348</v>
      </c>
      <c r="R126" t="s">
        <v>112</v>
      </c>
      <c r="S126" t="s">
        <v>349</v>
      </c>
      <c r="T126"/>
      <c r="U126"/>
      <c r="V126" t="s">
        <v>116</v>
      </c>
      <c r="W126"/>
      <c r="X126"/>
      <c r="Y126" t="s">
        <v>116</v>
      </c>
      <c r="Z126"/>
      <c r="AA126"/>
      <c r="AB126" t="s">
        <v>116</v>
      </c>
      <c r="AC126"/>
      <c r="AD126"/>
      <c r="AE126" t="s">
        <v>116</v>
      </c>
      <c r="AF126" t="s">
        <v>117</v>
      </c>
      <c r="AG126" t="s">
        <v>118</v>
      </c>
      <c r="AH126" t="s">
        <v>119</v>
      </c>
      <c r="AI126" t="s">
        <v>120</v>
      </c>
      <c r="AJ126" t="s">
        <v>121</v>
      </c>
      <c r="AK126" t="s">
        <v>122</v>
      </c>
      <c r="AL126" t="s">
        <v>356</v>
      </c>
      <c r="AM126" t="s">
        <v>357</v>
      </c>
      <c r="AN126" t="s">
        <v>358</v>
      </c>
      <c r="AO126"/>
      <c r="AP126"/>
      <c r="AQ126" t="s">
        <v>116</v>
      </c>
      <c r="AR126"/>
      <c r="AS126"/>
      <c r="AT126" t="s">
        <v>116</v>
      </c>
      <c r="AU126"/>
      <c r="AV126"/>
      <c r="AW126" t="s">
        <v>116</v>
      </c>
      <c r="AX126"/>
      <c r="AY126"/>
      <c r="AZ126" t="s">
        <v>116</v>
      </c>
      <c r="BA126"/>
      <c r="BB126"/>
      <c r="BC126" t="s">
        <v>116</v>
      </c>
      <c r="BD126"/>
      <c r="BE126"/>
      <c r="BF126" t="s">
        <v>116</v>
      </c>
      <c r="BG126"/>
      <c r="BH126"/>
      <c r="BI126" t="s">
        <v>116</v>
      </c>
      <c r="BJ126"/>
      <c r="BK126"/>
      <c r="BL126" s="8">
        <v>0</v>
      </c>
      <c r="BM126" s="8">
        <v>1383.44</v>
      </c>
      <c r="BN126" s="8">
        <v>1383.44</v>
      </c>
      <c r="BO126" s="8">
        <v>0</v>
      </c>
      <c r="BP126" s="8">
        <v>-1383.44</v>
      </c>
      <c r="BQ126" s="8">
        <v>0</v>
      </c>
      <c r="BR126" s="8">
        <v>0</v>
      </c>
      <c r="BS126" s="8">
        <v>0</v>
      </c>
      <c r="BT126" s="8">
        <v>0</v>
      </c>
      <c r="BU126" s="8">
        <v>0</v>
      </c>
      <c r="BV126" s="8">
        <v>0</v>
      </c>
      <c r="BW126" s="8">
        <v>0</v>
      </c>
      <c r="BX126" s="8">
        <v>0</v>
      </c>
      <c r="BY126" t="s">
        <v>99</v>
      </c>
      <c r="BZ126" t="s">
        <v>123</v>
      </c>
      <c r="CA126"/>
      <c r="CB126"/>
      <c r="CC126"/>
      <c r="CD126"/>
      <c r="CE126"/>
      <c r="CF126"/>
      <c r="CG126"/>
      <c r="CH126"/>
      <c r="CI126"/>
      <c r="CJ126"/>
      <c r="CK126"/>
      <c r="CL126"/>
      <c r="CM126"/>
      <c r="CN126"/>
      <c r="CO126"/>
      <c r="CP126"/>
      <c r="CQ126"/>
      <c r="CR126"/>
      <c r="CS126"/>
      <c r="CT126"/>
      <c r="CU126"/>
      <c r="CV126"/>
      <c r="CW126"/>
      <c r="CX126"/>
      <c r="CY126"/>
      <c r="CZ126"/>
      <c r="DA126"/>
      <c r="DB126"/>
      <c r="DC126"/>
      <c r="DD126"/>
    </row>
    <row r="127" spans="1:108" x14ac:dyDescent="0.25">
      <c r="A127" t="s">
        <v>99</v>
      </c>
      <c r="B127" t="s">
        <v>100</v>
      </c>
      <c r="C127" t="s">
        <v>5</v>
      </c>
      <c r="D127" t="s">
        <v>101</v>
      </c>
      <c r="E127" t="s">
        <v>102</v>
      </c>
      <c r="F127" t="s">
        <v>103</v>
      </c>
      <c r="G127" t="s">
        <v>104</v>
      </c>
      <c r="H127" t="s">
        <v>105</v>
      </c>
      <c r="I127" s="6" t="s">
        <v>106</v>
      </c>
      <c r="J127" s="6" t="s">
        <v>107</v>
      </c>
      <c r="K127" s="6" t="s">
        <v>277</v>
      </c>
      <c r="L127" s="6" t="s">
        <v>278</v>
      </c>
      <c r="M127" s="6" t="s">
        <v>279</v>
      </c>
      <c r="N127" s="6" t="s">
        <v>346</v>
      </c>
      <c r="O127" s="6" t="s">
        <v>112</v>
      </c>
      <c r="P127" s="6" t="s">
        <v>347</v>
      </c>
      <c r="Q127" s="6" t="s">
        <v>348</v>
      </c>
      <c r="R127" t="s">
        <v>112</v>
      </c>
      <c r="S127" t="s">
        <v>349</v>
      </c>
      <c r="T127"/>
      <c r="U127"/>
      <c r="V127" t="s">
        <v>116</v>
      </c>
      <c r="W127"/>
      <c r="X127"/>
      <c r="Y127" t="s">
        <v>116</v>
      </c>
      <c r="Z127"/>
      <c r="AA127"/>
      <c r="AB127" t="s">
        <v>116</v>
      </c>
      <c r="AC127"/>
      <c r="AD127"/>
      <c r="AE127" t="s">
        <v>116</v>
      </c>
      <c r="AF127" t="s">
        <v>117</v>
      </c>
      <c r="AG127" t="s">
        <v>118</v>
      </c>
      <c r="AH127" t="s">
        <v>119</v>
      </c>
      <c r="AI127" t="s">
        <v>120</v>
      </c>
      <c r="AJ127" t="s">
        <v>121</v>
      </c>
      <c r="AK127" t="s">
        <v>122</v>
      </c>
      <c r="AL127" t="s">
        <v>221</v>
      </c>
      <c r="AM127" t="s">
        <v>222</v>
      </c>
      <c r="AN127" t="s">
        <v>223</v>
      </c>
      <c r="AO127"/>
      <c r="AP127"/>
      <c r="AQ127" t="s">
        <v>116</v>
      </c>
      <c r="AR127"/>
      <c r="AS127"/>
      <c r="AT127" t="s">
        <v>116</v>
      </c>
      <c r="AU127"/>
      <c r="AV127"/>
      <c r="AW127" t="s">
        <v>116</v>
      </c>
      <c r="AX127"/>
      <c r="AY127"/>
      <c r="AZ127" t="s">
        <v>116</v>
      </c>
      <c r="BA127"/>
      <c r="BB127"/>
      <c r="BC127" t="s">
        <v>116</v>
      </c>
      <c r="BD127"/>
      <c r="BE127"/>
      <c r="BF127" t="s">
        <v>116</v>
      </c>
      <c r="BG127"/>
      <c r="BH127"/>
      <c r="BI127" t="s">
        <v>116</v>
      </c>
      <c r="BJ127"/>
      <c r="BK127"/>
      <c r="BL127" s="8">
        <v>0</v>
      </c>
      <c r="BM127" s="8">
        <v>412.3</v>
      </c>
      <c r="BN127" s="8">
        <v>412.3</v>
      </c>
      <c r="BO127" s="8">
        <v>0</v>
      </c>
      <c r="BP127" s="8">
        <v>-412.3</v>
      </c>
      <c r="BQ127" s="8">
        <v>0</v>
      </c>
      <c r="BR127" s="8">
        <v>0</v>
      </c>
      <c r="BS127" s="8">
        <v>0</v>
      </c>
      <c r="BT127" s="8">
        <v>0</v>
      </c>
      <c r="BU127" s="8">
        <v>0</v>
      </c>
      <c r="BV127" s="8">
        <v>0</v>
      </c>
      <c r="BW127" s="8">
        <v>0</v>
      </c>
      <c r="BX127" s="8">
        <v>0</v>
      </c>
      <c r="BY127" t="s">
        <v>99</v>
      </c>
      <c r="BZ127" t="s">
        <v>123</v>
      </c>
      <c r="CA127"/>
      <c r="CB127"/>
      <c r="CC127"/>
      <c r="CD127"/>
      <c r="CE127"/>
      <c r="CF127"/>
      <c r="CG127"/>
      <c r="CH127"/>
      <c r="CI127"/>
      <c r="CJ127"/>
      <c r="CK127"/>
      <c r="CL127"/>
      <c r="CM127"/>
      <c r="CN127"/>
      <c r="CO127"/>
      <c r="CP127"/>
      <c r="CQ127"/>
      <c r="CR127"/>
      <c r="CS127"/>
      <c r="CT127"/>
      <c r="CU127"/>
      <c r="CV127"/>
      <c r="CW127"/>
      <c r="CX127"/>
      <c r="CY127"/>
      <c r="CZ127"/>
      <c r="DA127"/>
      <c r="DB127"/>
      <c r="DC127"/>
      <c r="DD127"/>
    </row>
    <row r="128" spans="1:108" x14ac:dyDescent="0.25">
      <c r="A128" t="s">
        <v>99</v>
      </c>
      <c r="B128" t="s">
        <v>100</v>
      </c>
      <c r="C128" t="s">
        <v>5</v>
      </c>
      <c r="D128" t="s">
        <v>101</v>
      </c>
      <c r="E128" t="s">
        <v>102</v>
      </c>
      <c r="F128" t="s">
        <v>103</v>
      </c>
      <c r="G128" t="s">
        <v>104</v>
      </c>
      <c r="H128" t="s">
        <v>105</v>
      </c>
      <c r="I128" s="6" t="s">
        <v>106</v>
      </c>
      <c r="J128" s="6" t="s">
        <v>107</v>
      </c>
      <c r="K128" s="6" t="s">
        <v>277</v>
      </c>
      <c r="L128" s="6" t="s">
        <v>278</v>
      </c>
      <c r="M128" s="6" t="s">
        <v>279</v>
      </c>
      <c r="N128" s="6" t="s">
        <v>346</v>
      </c>
      <c r="O128" s="6" t="s">
        <v>112</v>
      </c>
      <c r="P128" s="6" t="s">
        <v>347</v>
      </c>
      <c r="Q128" s="6" t="s">
        <v>359</v>
      </c>
      <c r="R128" t="s">
        <v>112</v>
      </c>
      <c r="S128" t="s">
        <v>360</v>
      </c>
      <c r="T128"/>
      <c r="U128"/>
      <c r="V128" t="s">
        <v>116</v>
      </c>
      <c r="W128"/>
      <c r="X128"/>
      <c r="Y128" t="s">
        <v>116</v>
      </c>
      <c r="Z128"/>
      <c r="AA128"/>
      <c r="AB128" t="s">
        <v>116</v>
      </c>
      <c r="AC128"/>
      <c r="AD128"/>
      <c r="AE128" t="s">
        <v>116</v>
      </c>
      <c r="AF128" t="s">
        <v>117</v>
      </c>
      <c r="AG128" t="s">
        <v>118</v>
      </c>
      <c r="AH128" t="s">
        <v>119</v>
      </c>
      <c r="AI128" t="s">
        <v>120</v>
      </c>
      <c r="AJ128" t="s">
        <v>121</v>
      </c>
      <c r="AK128" t="s">
        <v>122</v>
      </c>
      <c r="AL128"/>
      <c r="AM128"/>
      <c r="AN128" t="s">
        <v>116</v>
      </c>
      <c r="AO128"/>
      <c r="AP128"/>
      <c r="AQ128" t="s">
        <v>116</v>
      </c>
      <c r="AR128"/>
      <c r="AS128"/>
      <c r="AT128" t="s">
        <v>116</v>
      </c>
      <c r="AU128"/>
      <c r="AV128"/>
      <c r="AW128" t="s">
        <v>116</v>
      </c>
      <c r="AX128"/>
      <c r="AY128"/>
      <c r="AZ128" t="s">
        <v>116</v>
      </c>
      <c r="BA128"/>
      <c r="BB128"/>
      <c r="BC128" t="s">
        <v>116</v>
      </c>
      <c r="BD128"/>
      <c r="BE128"/>
      <c r="BF128" t="s">
        <v>116</v>
      </c>
      <c r="BG128"/>
      <c r="BH128"/>
      <c r="BI128" t="s">
        <v>116</v>
      </c>
      <c r="BJ128"/>
      <c r="BK128"/>
      <c r="BL128" s="8">
        <v>24394.49</v>
      </c>
      <c r="BM128" s="8">
        <v>0</v>
      </c>
      <c r="BN128" s="8">
        <v>0</v>
      </c>
      <c r="BO128" s="8">
        <v>0</v>
      </c>
      <c r="BP128" s="8">
        <v>24394.49</v>
      </c>
      <c r="BQ128" s="8">
        <v>0</v>
      </c>
      <c r="BR128" s="8">
        <v>0</v>
      </c>
      <c r="BS128" s="8">
        <v>0</v>
      </c>
      <c r="BT128" s="8">
        <v>0</v>
      </c>
      <c r="BU128" s="8">
        <v>0</v>
      </c>
      <c r="BV128" s="8">
        <v>0</v>
      </c>
      <c r="BW128" s="8">
        <v>0</v>
      </c>
      <c r="BX128" s="8">
        <v>0</v>
      </c>
      <c r="BY128" t="s">
        <v>99</v>
      </c>
      <c r="BZ128" t="s">
        <v>123</v>
      </c>
      <c r="CA128"/>
      <c r="CB128"/>
      <c r="CC128"/>
      <c r="CD128"/>
      <c r="CE128"/>
      <c r="CF128"/>
      <c r="CG128"/>
      <c r="CH128"/>
      <c r="CI128"/>
      <c r="CJ128"/>
      <c r="CK128"/>
      <c r="CL128"/>
      <c r="CM128"/>
      <c r="CN128"/>
      <c r="CO128"/>
      <c r="CP128"/>
      <c r="CQ128"/>
      <c r="CR128"/>
      <c r="CS128"/>
      <c r="CT128"/>
      <c r="CU128"/>
      <c r="CV128"/>
      <c r="CW128"/>
      <c r="CX128"/>
      <c r="CY128"/>
      <c r="CZ128"/>
      <c r="DA128"/>
      <c r="DB128"/>
      <c r="DC128"/>
      <c r="DD128"/>
    </row>
    <row r="129" spans="1:108" x14ac:dyDescent="0.25">
      <c r="A129" t="s">
        <v>99</v>
      </c>
      <c r="B129" t="s">
        <v>100</v>
      </c>
      <c r="C129" t="s">
        <v>5</v>
      </c>
      <c r="D129" t="s">
        <v>101</v>
      </c>
      <c r="E129" t="s">
        <v>102</v>
      </c>
      <c r="F129" t="s">
        <v>103</v>
      </c>
      <c r="G129" t="s">
        <v>104</v>
      </c>
      <c r="H129" t="s">
        <v>105</v>
      </c>
      <c r="I129" s="6" t="s">
        <v>106</v>
      </c>
      <c r="J129" s="6" t="s">
        <v>107</v>
      </c>
      <c r="K129" s="6" t="s">
        <v>277</v>
      </c>
      <c r="L129" s="6" t="s">
        <v>278</v>
      </c>
      <c r="M129" s="6" t="s">
        <v>279</v>
      </c>
      <c r="N129" s="6" t="s">
        <v>346</v>
      </c>
      <c r="O129" s="6" t="s">
        <v>112</v>
      </c>
      <c r="P129" s="6" t="s">
        <v>347</v>
      </c>
      <c r="Q129" s="6" t="s">
        <v>359</v>
      </c>
      <c r="R129" t="s">
        <v>112</v>
      </c>
      <c r="S129" t="s">
        <v>360</v>
      </c>
      <c r="T129"/>
      <c r="U129"/>
      <c r="V129" t="s">
        <v>116</v>
      </c>
      <c r="W129"/>
      <c r="X129"/>
      <c r="Y129" t="s">
        <v>116</v>
      </c>
      <c r="Z129"/>
      <c r="AA129"/>
      <c r="AB129" t="s">
        <v>116</v>
      </c>
      <c r="AC129"/>
      <c r="AD129"/>
      <c r="AE129" t="s">
        <v>116</v>
      </c>
      <c r="AF129" t="s">
        <v>117</v>
      </c>
      <c r="AG129" t="s">
        <v>118</v>
      </c>
      <c r="AH129" t="s">
        <v>119</v>
      </c>
      <c r="AI129" t="s">
        <v>120</v>
      </c>
      <c r="AJ129" t="s">
        <v>121</v>
      </c>
      <c r="AK129" t="s">
        <v>122</v>
      </c>
      <c r="AL129" t="s">
        <v>164</v>
      </c>
      <c r="AM129" t="s">
        <v>165</v>
      </c>
      <c r="AN129" t="s">
        <v>166</v>
      </c>
      <c r="AO129"/>
      <c r="AP129"/>
      <c r="AQ129" t="s">
        <v>116</v>
      </c>
      <c r="AR129"/>
      <c r="AS129"/>
      <c r="AT129" t="s">
        <v>116</v>
      </c>
      <c r="AU129"/>
      <c r="AV129"/>
      <c r="AW129" t="s">
        <v>116</v>
      </c>
      <c r="AX129"/>
      <c r="AY129"/>
      <c r="AZ129" t="s">
        <v>116</v>
      </c>
      <c r="BA129"/>
      <c r="BB129"/>
      <c r="BC129" t="s">
        <v>116</v>
      </c>
      <c r="BD129"/>
      <c r="BE129"/>
      <c r="BF129" t="s">
        <v>116</v>
      </c>
      <c r="BG129"/>
      <c r="BH129"/>
      <c r="BI129" t="s">
        <v>116</v>
      </c>
      <c r="BJ129"/>
      <c r="BK129"/>
      <c r="BL129" s="8">
        <v>0</v>
      </c>
      <c r="BM129" s="8">
        <v>1014.75</v>
      </c>
      <c r="BN129" s="8">
        <v>1014.75</v>
      </c>
      <c r="BO129" s="8">
        <v>0</v>
      </c>
      <c r="BP129" s="8">
        <v>-1014.75</v>
      </c>
      <c r="BQ129" s="8">
        <v>0</v>
      </c>
      <c r="BR129" s="8">
        <v>0</v>
      </c>
      <c r="BS129" s="8">
        <v>0</v>
      </c>
      <c r="BT129" s="8">
        <v>0</v>
      </c>
      <c r="BU129" s="8">
        <v>0</v>
      </c>
      <c r="BV129" s="8">
        <v>0</v>
      </c>
      <c r="BW129" s="8">
        <v>0</v>
      </c>
      <c r="BX129" s="8">
        <v>0</v>
      </c>
      <c r="BY129" t="s">
        <v>99</v>
      </c>
      <c r="BZ129" t="s">
        <v>123</v>
      </c>
      <c r="CA129"/>
      <c r="CB129"/>
      <c r="CC129"/>
      <c r="CD129"/>
      <c r="CE129"/>
      <c r="CF129"/>
      <c r="CG129"/>
      <c r="CH129"/>
      <c r="CI129"/>
      <c r="CJ129"/>
      <c r="CK129"/>
      <c r="CL129"/>
      <c r="CM129"/>
      <c r="CN129"/>
      <c r="CO129"/>
      <c r="CP129"/>
      <c r="CQ129"/>
      <c r="CR129"/>
      <c r="CS129"/>
      <c r="CT129"/>
      <c r="CU129"/>
      <c r="CV129"/>
      <c r="CW129"/>
      <c r="CX129"/>
      <c r="CY129"/>
      <c r="CZ129"/>
      <c r="DA129"/>
      <c r="DB129"/>
      <c r="DC129"/>
      <c r="DD129"/>
    </row>
    <row r="130" spans="1:108" x14ac:dyDescent="0.25">
      <c r="A130" t="s">
        <v>99</v>
      </c>
      <c r="B130" t="s">
        <v>100</v>
      </c>
      <c r="C130" t="s">
        <v>5</v>
      </c>
      <c r="D130" t="s">
        <v>101</v>
      </c>
      <c r="E130" t="s">
        <v>102</v>
      </c>
      <c r="F130" t="s">
        <v>103</v>
      </c>
      <c r="G130" t="s">
        <v>104</v>
      </c>
      <c r="H130" t="s">
        <v>105</v>
      </c>
      <c r="I130" s="6" t="s">
        <v>106</v>
      </c>
      <c r="J130" s="6" t="s">
        <v>107</v>
      </c>
      <c r="K130" s="6" t="s">
        <v>277</v>
      </c>
      <c r="L130" s="6" t="s">
        <v>278</v>
      </c>
      <c r="M130" s="6" t="s">
        <v>279</v>
      </c>
      <c r="N130" s="6" t="s">
        <v>346</v>
      </c>
      <c r="O130" s="6" t="s">
        <v>112</v>
      </c>
      <c r="P130" s="6" t="s">
        <v>347</v>
      </c>
      <c r="Q130" s="6" t="s">
        <v>359</v>
      </c>
      <c r="R130" t="s">
        <v>112</v>
      </c>
      <c r="S130" t="s">
        <v>360</v>
      </c>
      <c r="T130"/>
      <c r="U130"/>
      <c r="V130" t="s">
        <v>116</v>
      </c>
      <c r="W130"/>
      <c r="X130"/>
      <c r="Y130" t="s">
        <v>116</v>
      </c>
      <c r="Z130"/>
      <c r="AA130"/>
      <c r="AB130" t="s">
        <v>116</v>
      </c>
      <c r="AC130"/>
      <c r="AD130"/>
      <c r="AE130" t="s">
        <v>116</v>
      </c>
      <c r="AF130" t="s">
        <v>117</v>
      </c>
      <c r="AG130" t="s">
        <v>118</v>
      </c>
      <c r="AH130" t="s">
        <v>119</v>
      </c>
      <c r="AI130" t="s">
        <v>120</v>
      </c>
      <c r="AJ130" t="s">
        <v>121</v>
      </c>
      <c r="AK130" t="s">
        <v>122</v>
      </c>
      <c r="AL130" t="s">
        <v>356</v>
      </c>
      <c r="AM130" t="s">
        <v>357</v>
      </c>
      <c r="AN130" t="s">
        <v>358</v>
      </c>
      <c r="AO130"/>
      <c r="AP130"/>
      <c r="AQ130" t="s">
        <v>116</v>
      </c>
      <c r="AR130"/>
      <c r="AS130"/>
      <c r="AT130" t="s">
        <v>116</v>
      </c>
      <c r="AU130"/>
      <c r="AV130"/>
      <c r="AW130" t="s">
        <v>116</v>
      </c>
      <c r="AX130"/>
      <c r="AY130"/>
      <c r="AZ130" t="s">
        <v>116</v>
      </c>
      <c r="BA130"/>
      <c r="BB130"/>
      <c r="BC130" t="s">
        <v>116</v>
      </c>
      <c r="BD130"/>
      <c r="BE130"/>
      <c r="BF130" t="s">
        <v>116</v>
      </c>
      <c r="BG130"/>
      <c r="BH130"/>
      <c r="BI130" t="s">
        <v>116</v>
      </c>
      <c r="BJ130"/>
      <c r="BK130"/>
      <c r="BL130" s="8">
        <v>0</v>
      </c>
      <c r="BM130" s="8">
        <v>5468.07</v>
      </c>
      <c r="BN130" s="8">
        <v>5468.07</v>
      </c>
      <c r="BO130" s="8">
        <v>0</v>
      </c>
      <c r="BP130" s="8">
        <v>-5468.07</v>
      </c>
      <c r="BQ130" s="8">
        <v>0</v>
      </c>
      <c r="BR130" s="8">
        <v>0</v>
      </c>
      <c r="BS130" s="8">
        <v>0</v>
      </c>
      <c r="BT130" s="8">
        <v>0</v>
      </c>
      <c r="BU130" s="8">
        <v>0</v>
      </c>
      <c r="BV130" s="8">
        <v>0</v>
      </c>
      <c r="BW130" s="8">
        <v>0</v>
      </c>
      <c r="BX130" s="8">
        <v>0</v>
      </c>
      <c r="BY130" t="s">
        <v>99</v>
      </c>
      <c r="BZ130" t="s">
        <v>123</v>
      </c>
      <c r="CA130"/>
      <c r="CB130"/>
      <c r="CC130"/>
      <c r="CD130"/>
      <c r="CE130"/>
      <c r="CF130"/>
      <c r="CG130"/>
      <c r="CH130"/>
      <c r="CI130"/>
      <c r="CJ130"/>
      <c r="CK130"/>
      <c r="CL130"/>
      <c r="CM130"/>
      <c r="CN130"/>
      <c r="CO130"/>
      <c r="CP130"/>
      <c r="CQ130"/>
      <c r="CR130"/>
      <c r="CS130"/>
      <c r="CT130"/>
      <c r="CU130"/>
      <c r="CV130"/>
      <c r="CW130"/>
      <c r="CX130"/>
      <c r="CY130"/>
      <c r="CZ130"/>
      <c r="DA130"/>
      <c r="DB130"/>
      <c r="DC130"/>
      <c r="DD130"/>
    </row>
    <row r="131" spans="1:108" x14ac:dyDescent="0.25">
      <c r="A131" t="s">
        <v>99</v>
      </c>
      <c r="B131" t="s">
        <v>100</v>
      </c>
      <c r="C131" t="s">
        <v>5</v>
      </c>
      <c r="D131" t="s">
        <v>101</v>
      </c>
      <c r="E131" t="s">
        <v>102</v>
      </c>
      <c r="F131" t="s">
        <v>103</v>
      </c>
      <c r="G131" t="s">
        <v>104</v>
      </c>
      <c r="H131" t="s">
        <v>105</v>
      </c>
      <c r="I131" s="6" t="s">
        <v>106</v>
      </c>
      <c r="J131" s="6" t="s">
        <v>107</v>
      </c>
      <c r="K131" s="6" t="s">
        <v>277</v>
      </c>
      <c r="L131" s="6" t="s">
        <v>278</v>
      </c>
      <c r="M131" s="6" t="s">
        <v>279</v>
      </c>
      <c r="N131" s="6" t="s">
        <v>346</v>
      </c>
      <c r="O131" s="6" t="s">
        <v>112</v>
      </c>
      <c r="P131" s="6" t="s">
        <v>347</v>
      </c>
      <c r="Q131" s="6" t="s">
        <v>359</v>
      </c>
      <c r="R131" t="s">
        <v>112</v>
      </c>
      <c r="S131" t="s">
        <v>360</v>
      </c>
      <c r="T131"/>
      <c r="U131"/>
      <c r="V131" t="s">
        <v>116</v>
      </c>
      <c r="W131"/>
      <c r="X131"/>
      <c r="Y131" t="s">
        <v>116</v>
      </c>
      <c r="Z131"/>
      <c r="AA131"/>
      <c r="AB131" t="s">
        <v>116</v>
      </c>
      <c r="AC131"/>
      <c r="AD131"/>
      <c r="AE131" t="s">
        <v>116</v>
      </c>
      <c r="AF131" t="s">
        <v>117</v>
      </c>
      <c r="AG131" t="s">
        <v>118</v>
      </c>
      <c r="AH131" t="s">
        <v>119</v>
      </c>
      <c r="AI131" t="s">
        <v>120</v>
      </c>
      <c r="AJ131" t="s">
        <v>121</v>
      </c>
      <c r="AK131" t="s">
        <v>122</v>
      </c>
      <c r="AL131" t="s">
        <v>221</v>
      </c>
      <c r="AM131" t="s">
        <v>222</v>
      </c>
      <c r="AN131" t="s">
        <v>223</v>
      </c>
      <c r="AO131"/>
      <c r="AP131"/>
      <c r="AQ131" t="s">
        <v>116</v>
      </c>
      <c r="AR131"/>
      <c r="AS131"/>
      <c r="AT131" t="s">
        <v>116</v>
      </c>
      <c r="AU131"/>
      <c r="AV131"/>
      <c r="AW131" t="s">
        <v>116</v>
      </c>
      <c r="AX131"/>
      <c r="AY131"/>
      <c r="AZ131" t="s">
        <v>116</v>
      </c>
      <c r="BA131"/>
      <c r="BB131"/>
      <c r="BC131" t="s">
        <v>116</v>
      </c>
      <c r="BD131"/>
      <c r="BE131"/>
      <c r="BF131" t="s">
        <v>116</v>
      </c>
      <c r="BG131"/>
      <c r="BH131"/>
      <c r="BI131" t="s">
        <v>116</v>
      </c>
      <c r="BJ131"/>
      <c r="BK131"/>
      <c r="BL131" s="8">
        <v>0</v>
      </c>
      <c r="BM131" s="8">
        <v>799.64</v>
      </c>
      <c r="BN131" s="8">
        <v>799.64</v>
      </c>
      <c r="BO131" s="8">
        <v>0</v>
      </c>
      <c r="BP131" s="8">
        <v>-799.64</v>
      </c>
      <c r="BQ131" s="8">
        <v>0</v>
      </c>
      <c r="BR131" s="8">
        <v>0</v>
      </c>
      <c r="BS131" s="8">
        <v>0</v>
      </c>
      <c r="BT131" s="8">
        <v>0</v>
      </c>
      <c r="BU131" s="8">
        <v>0</v>
      </c>
      <c r="BV131" s="8">
        <v>0</v>
      </c>
      <c r="BW131" s="8">
        <v>0</v>
      </c>
      <c r="BX131" s="8">
        <v>0</v>
      </c>
      <c r="BY131" t="s">
        <v>99</v>
      </c>
      <c r="BZ131" t="s">
        <v>123</v>
      </c>
      <c r="CA131"/>
      <c r="CB131"/>
      <c r="CC131"/>
      <c r="CD131"/>
      <c r="CE131"/>
      <c r="CF131"/>
      <c r="CG131"/>
      <c r="CH131"/>
      <c r="CI131"/>
      <c r="CJ131"/>
      <c r="CK131"/>
      <c r="CL131"/>
      <c r="CM131"/>
      <c r="CN131"/>
      <c r="CO131"/>
      <c r="CP131"/>
      <c r="CQ131"/>
      <c r="CR131"/>
      <c r="CS131"/>
      <c r="CT131"/>
      <c r="CU131"/>
      <c r="CV131"/>
      <c r="CW131"/>
      <c r="CX131"/>
      <c r="CY131"/>
      <c r="CZ131"/>
      <c r="DA131"/>
      <c r="DB131"/>
      <c r="DC131"/>
      <c r="DD131"/>
    </row>
    <row r="132" spans="1:108" x14ac:dyDescent="0.25">
      <c r="A132" t="s">
        <v>99</v>
      </c>
      <c r="B132" t="s">
        <v>100</v>
      </c>
      <c r="C132" t="s">
        <v>5</v>
      </c>
      <c r="D132" t="s">
        <v>101</v>
      </c>
      <c r="E132" t="s">
        <v>102</v>
      </c>
      <c r="F132" t="s">
        <v>103</v>
      </c>
      <c r="G132" t="s">
        <v>104</v>
      </c>
      <c r="H132" t="s">
        <v>105</v>
      </c>
      <c r="I132" s="6" t="s">
        <v>106</v>
      </c>
      <c r="J132" s="6" t="s">
        <v>107</v>
      </c>
      <c r="K132" s="6" t="s">
        <v>277</v>
      </c>
      <c r="L132" s="6" t="s">
        <v>278</v>
      </c>
      <c r="M132" s="6" t="s">
        <v>279</v>
      </c>
      <c r="N132" s="6" t="s">
        <v>346</v>
      </c>
      <c r="O132" s="6" t="s">
        <v>112</v>
      </c>
      <c r="P132" s="6" t="s">
        <v>347</v>
      </c>
      <c r="Q132" s="6" t="s">
        <v>361</v>
      </c>
      <c r="R132" t="s">
        <v>112</v>
      </c>
      <c r="S132" t="s">
        <v>362</v>
      </c>
      <c r="T132"/>
      <c r="U132"/>
      <c r="V132" t="s">
        <v>116</v>
      </c>
      <c r="W132"/>
      <c r="X132"/>
      <c r="Y132" t="s">
        <v>116</v>
      </c>
      <c r="Z132"/>
      <c r="AA132"/>
      <c r="AB132" t="s">
        <v>116</v>
      </c>
      <c r="AC132"/>
      <c r="AD132"/>
      <c r="AE132" t="s">
        <v>116</v>
      </c>
      <c r="AF132" t="s">
        <v>117</v>
      </c>
      <c r="AG132" t="s">
        <v>118</v>
      </c>
      <c r="AH132" t="s">
        <v>119</v>
      </c>
      <c r="AI132" t="s">
        <v>120</v>
      </c>
      <c r="AJ132" t="s">
        <v>121</v>
      </c>
      <c r="AK132" t="s">
        <v>122</v>
      </c>
      <c r="AL132"/>
      <c r="AM132"/>
      <c r="AN132" t="s">
        <v>116</v>
      </c>
      <c r="AO132"/>
      <c r="AP132"/>
      <c r="AQ132" t="s">
        <v>116</v>
      </c>
      <c r="AR132"/>
      <c r="AS132"/>
      <c r="AT132" t="s">
        <v>116</v>
      </c>
      <c r="AU132"/>
      <c r="AV132"/>
      <c r="AW132" t="s">
        <v>116</v>
      </c>
      <c r="AX132"/>
      <c r="AY132"/>
      <c r="AZ132" t="s">
        <v>116</v>
      </c>
      <c r="BA132"/>
      <c r="BB132"/>
      <c r="BC132" t="s">
        <v>116</v>
      </c>
      <c r="BD132"/>
      <c r="BE132"/>
      <c r="BF132" t="s">
        <v>116</v>
      </c>
      <c r="BG132"/>
      <c r="BH132"/>
      <c r="BI132" t="s">
        <v>116</v>
      </c>
      <c r="BJ132"/>
      <c r="BK132"/>
      <c r="BL132" s="8">
        <v>4408.55</v>
      </c>
      <c r="BM132" s="8">
        <v>0</v>
      </c>
      <c r="BN132" s="8">
        <v>0</v>
      </c>
      <c r="BO132" s="8">
        <v>0</v>
      </c>
      <c r="BP132" s="8">
        <v>4408.55</v>
      </c>
      <c r="BQ132" s="8">
        <v>0</v>
      </c>
      <c r="BR132" s="8">
        <v>0</v>
      </c>
      <c r="BS132" s="8">
        <v>0</v>
      </c>
      <c r="BT132" s="8">
        <v>0</v>
      </c>
      <c r="BU132" s="8">
        <v>0</v>
      </c>
      <c r="BV132" s="8">
        <v>0</v>
      </c>
      <c r="BW132" s="8">
        <v>0</v>
      </c>
      <c r="BX132" s="8">
        <v>0</v>
      </c>
      <c r="BY132" t="s">
        <v>99</v>
      </c>
      <c r="BZ132" t="s">
        <v>123</v>
      </c>
      <c r="CA132"/>
      <c r="CB132"/>
      <c r="CC132"/>
      <c r="CD132"/>
      <c r="CE132"/>
      <c r="CF132"/>
      <c r="CG132"/>
      <c r="CH132"/>
      <c r="CI132"/>
      <c r="CJ132"/>
      <c r="CK132"/>
      <c r="CL132"/>
      <c r="CM132"/>
      <c r="CN132"/>
      <c r="CO132"/>
      <c r="CP132"/>
      <c r="CQ132"/>
      <c r="CR132"/>
      <c r="CS132"/>
      <c r="CT132"/>
      <c r="CU132"/>
      <c r="CV132"/>
      <c r="CW132"/>
      <c r="CX132"/>
      <c r="CY132"/>
      <c r="CZ132"/>
      <c r="DA132"/>
      <c r="DB132"/>
      <c r="DC132"/>
      <c r="DD132"/>
    </row>
    <row r="133" spans="1:108" x14ac:dyDescent="0.25">
      <c r="A133" t="s">
        <v>99</v>
      </c>
      <c r="B133" t="s">
        <v>100</v>
      </c>
      <c r="C133" t="s">
        <v>5</v>
      </c>
      <c r="D133" t="s">
        <v>101</v>
      </c>
      <c r="E133" t="s">
        <v>102</v>
      </c>
      <c r="F133" t="s">
        <v>103</v>
      </c>
      <c r="G133" t="s">
        <v>104</v>
      </c>
      <c r="H133" t="s">
        <v>105</v>
      </c>
      <c r="I133" s="6" t="s">
        <v>106</v>
      </c>
      <c r="J133" s="6" t="s">
        <v>107</v>
      </c>
      <c r="K133" s="6" t="s">
        <v>277</v>
      </c>
      <c r="L133" s="6" t="s">
        <v>278</v>
      </c>
      <c r="M133" s="6" t="s">
        <v>279</v>
      </c>
      <c r="N133" s="6" t="s">
        <v>346</v>
      </c>
      <c r="O133" s="6" t="s">
        <v>112</v>
      </c>
      <c r="P133" s="6" t="s">
        <v>347</v>
      </c>
      <c r="Q133" s="6" t="s">
        <v>361</v>
      </c>
      <c r="R133" t="s">
        <v>112</v>
      </c>
      <c r="S133" t="s">
        <v>362</v>
      </c>
      <c r="T133"/>
      <c r="U133"/>
      <c r="V133" t="s">
        <v>116</v>
      </c>
      <c r="W133"/>
      <c r="X133"/>
      <c r="Y133" t="s">
        <v>116</v>
      </c>
      <c r="Z133"/>
      <c r="AA133"/>
      <c r="AB133" t="s">
        <v>116</v>
      </c>
      <c r="AC133"/>
      <c r="AD133"/>
      <c r="AE133" t="s">
        <v>116</v>
      </c>
      <c r="AF133" t="s">
        <v>117</v>
      </c>
      <c r="AG133" t="s">
        <v>118</v>
      </c>
      <c r="AH133" t="s">
        <v>119</v>
      </c>
      <c r="AI133" t="s">
        <v>120</v>
      </c>
      <c r="AJ133" t="s">
        <v>121</v>
      </c>
      <c r="AK133" t="s">
        <v>122</v>
      </c>
      <c r="AL133" t="s">
        <v>356</v>
      </c>
      <c r="AM133" t="s">
        <v>357</v>
      </c>
      <c r="AN133" t="s">
        <v>358</v>
      </c>
      <c r="AO133"/>
      <c r="AP133"/>
      <c r="AQ133" t="s">
        <v>116</v>
      </c>
      <c r="AR133"/>
      <c r="AS133"/>
      <c r="AT133" t="s">
        <v>116</v>
      </c>
      <c r="AU133"/>
      <c r="AV133"/>
      <c r="AW133" t="s">
        <v>116</v>
      </c>
      <c r="AX133"/>
      <c r="AY133"/>
      <c r="AZ133" t="s">
        <v>116</v>
      </c>
      <c r="BA133"/>
      <c r="BB133"/>
      <c r="BC133" t="s">
        <v>116</v>
      </c>
      <c r="BD133"/>
      <c r="BE133"/>
      <c r="BF133" t="s">
        <v>116</v>
      </c>
      <c r="BG133"/>
      <c r="BH133"/>
      <c r="BI133" t="s">
        <v>116</v>
      </c>
      <c r="BJ133"/>
      <c r="BK133"/>
      <c r="BL133" s="8">
        <v>0</v>
      </c>
      <c r="BM133" s="8">
        <v>1182.29</v>
      </c>
      <c r="BN133" s="8">
        <v>1182.29</v>
      </c>
      <c r="BO133" s="8">
        <v>0</v>
      </c>
      <c r="BP133" s="8">
        <v>-1182.29</v>
      </c>
      <c r="BQ133" s="8">
        <v>0</v>
      </c>
      <c r="BR133" s="8">
        <v>0</v>
      </c>
      <c r="BS133" s="8">
        <v>0</v>
      </c>
      <c r="BT133" s="8">
        <v>0</v>
      </c>
      <c r="BU133" s="8">
        <v>0</v>
      </c>
      <c r="BV133" s="8">
        <v>0</v>
      </c>
      <c r="BW133" s="8">
        <v>0</v>
      </c>
      <c r="BX133" s="8">
        <v>0</v>
      </c>
      <c r="BY133" t="s">
        <v>99</v>
      </c>
      <c r="BZ133" t="s">
        <v>123</v>
      </c>
      <c r="CA133"/>
      <c r="CB133"/>
      <c r="CC133"/>
      <c r="CD133"/>
      <c r="CE133"/>
      <c r="CF133"/>
      <c r="CG133"/>
      <c r="CH133"/>
      <c r="CI133"/>
      <c r="CJ133"/>
      <c r="CK133"/>
      <c r="CL133"/>
      <c r="CM133"/>
      <c r="CN133"/>
      <c r="CO133"/>
      <c r="CP133"/>
      <c r="CQ133"/>
      <c r="CR133"/>
      <c r="CS133"/>
      <c r="CT133"/>
      <c r="CU133"/>
      <c r="CV133"/>
      <c r="CW133"/>
      <c r="CX133"/>
      <c r="CY133"/>
      <c r="CZ133"/>
      <c r="DA133"/>
      <c r="DB133"/>
      <c r="DC133"/>
      <c r="DD133"/>
    </row>
    <row r="134" spans="1:108" x14ac:dyDescent="0.25">
      <c r="A134" t="s">
        <v>99</v>
      </c>
      <c r="B134" t="s">
        <v>100</v>
      </c>
      <c r="C134" t="s">
        <v>5</v>
      </c>
      <c r="D134" t="s">
        <v>101</v>
      </c>
      <c r="E134" t="s">
        <v>102</v>
      </c>
      <c r="F134" t="s">
        <v>103</v>
      </c>
      <c r="G134" t="s">
        <v>104</v>
      </c>
      <c r="H134" t="s">
        <v>105</v>
      </c>
      <c r="I134" s="6" t="s">
        <v>106</v>
      </c>
      <c r="J134" s="6" t="s">
        <v>107</v>
      </c>
      <c r="K134" s="6" t="s">
        <v>277</v>
      </c>
      <c r="L134" s="6" t="s">
        <v>278</v>
      </c>
      <c r="M134" s="6" t="s">
        <v>279</v>
      </c>
      <c r="N134" s="6" t="s">
        <v>346</v>
      </c>
      <c r="O134" s="6" t="s">
        <v>112</v>
      </c>
      <c r="P134" s="6" t="s">
        <v>347</v>
      </c>
      <c r="Q134" s="6" t="s">
        <v>361</v>
      </c>
      <c r="R134" t="s">
        <v>112</v>
      </c>
      <c r="S134" t="s">
        <v>362</v>
      </c>
      <c r="T134"/>
      <c r="U134"/>
      <c r="V134" t="s">
        <v>116</v>
      </c>
      <c r="W134"/>
      <c r="X134"/>
      <c r="Y134" t="s">
        <v>116</v>
      </c>
      <c r="Z134"/>
      <c r="AA134"/>
      <c r="AB134" t="s">
        <v>116</v>
      </c>
      <c r="AC134"/>
      <c r="AD134"/>
      <c r="AE134" t="s">
        <v>116</v>
      </c>
      <c r="AF134" t="s">
        <v>117</v>
      </c>
      <c r="AG134" t="s">
        <v>118</v>
      </c>
      <c r="AH134" t="s">
        <v>119</v>
      </c>
      <c r="AI134" t="s">
        <v>120</v>
      </c>
      <c r="AJ134" t="s">
        <v>121</v>
      </c>
      <c r="AK134" t="s">
        <v>122</v>
      </c>
      <c r="AL134" t="s">
        <v>363</v>
      </c>
      <c r="AM134" t="s">
        <v>364</v>
      </c>
      <c r="AN134" t="s">
        <v>365</v>
      </c>
      <c r="AO134"/>
      <c r="AP134"/>
      <c r="AQ134" t="s">
        <v>116</v>
      </c>
      <c r="AR134"/>
      <c r="AS134"/>
      <c r="AT134" t="s">
        <v>116</v>
      </c>
      <c r="AU134"/>
      <c r="AV134"/>
      <c r="AW134" t="s">
        <v>116</v>
      </c>
      <c r="AX134"/>
      <c r="AY134"/>
      <c r="AZ134" t="s">
        <v>116</v>
      </c>
      <c r="BA134"/>
      <c r="BB134"/>
      <c r="BC134" t="s">
        <v>116</v>
      </c>
      <c r="BD134"/>
      <c r="BE134"/>
      <c r="BF134" t="s">
        <v>116</v>
      </c>
      <c r="BG134"/>
      <c r="BH134"/>
      <c r="BI134" t="s">
        <v>116</v>
      </c>
      <c r="BJ134"/>
      <c r="BK134"/>
      <c r="BL134" s="8">
        <v>0</v>
      </c>
      <c r="BM134" s="8">
        <v>2823.3</v>
      </c>
      <c r="BN134" s="8">
        <v>2823.3</v>
      </c>
      <c r="BO134" s="8">
        <v>0</v>
      </c>
      <c r="BP134" s="8">
        <v>-2823.3</v>
      </c>
      <c r="BQ134" s="8">
        <v>0</v>
      </c>
      <c r="BR134" s="8">
        <v>0</v>
      </c>
      <c r="BS134" s="8">
        <v>0</v>
      </c>
      <c r="BT134" s="8">
        <v>0</v>
      </c>
      <c r="BU134" s="8">
        <v>0</v>
      </c>
      <c r="BV134" s="8">
        <v>0</v>
      </c>
      <c r="BW134" s="8">
        <v>0</v>
      </c>
      <c r="BX134" s="8">
        <v>0</v>
      </c>
      <c r="BY134" t="s">
        <v>99</v>
      </c>
      <c r="BZ134" t="s">
        <v>123</v>
      </c>
      <c r="CA134"/>
      <c r="CB134"/>
      <c r="CC134"/>
      <c r="CD134"/>
      <c r="CE134"/>
      <c r="CF134"/>
      <c r="CG134"/>
      <c r="CH134"/>
      <c r="CI134"/>
      <c r="CJ134"/>
      <c r="CK134"/>
      <c r="CL134"/>
      <c r="CM134"/>
      <c r="CN134"/>
      <c r="CO134"/>
      <c r="CP134"/>
      <c r="CQ134"/>
      <c r="CR134"/>
      <c r="CS134"/>
      <c r="CT134"/>
      <c r="CU134"/>
      <c r="CV134"/>
      <c r="CW134"/>
      <c r="CX134"/>
      <c r="CY134"/>
      <c r="CZ134"/>
      <c r="DA134"/>
      <c r="DB134"/>
      <c r="DC134"/>
      <c r="DD134"/>
    </row>
    <row r="135" spans="1:108" x14ac:dyDescent="0.25">
      <c r="A135" t="s">
        <v>99</v>
      </c>
      <c r="B135" t="s">
        <v>100</v>
      </c>
      <c r="C135" t="s">
        <v>5</v>
      </c>
      <c r="D135" t="s">
        <v>101</v>
      </c>
      <c r="E135" t="s">
        <v>102</v>
      </c>
      <c r="F135" t="s">
        <v>103</v>
      </c>
      <c r="G135" t="s">
        <v>104</v>
      </c>
      <c r="H135" t="s">
        <v>105</v>
      </c>
      <c r="I135" s="6" t="s">
        <v>106</v>
      </c>
      <c r="J135" s="6" t="s">
        <v>107</v>
      </c>
      <c r="K135" s="6" t="s">
        <v>277</v>
      </c>
      <c r="L135" s="6" t="s">
        <v>278</v>
      </c>
      <c r="M135" s="6" t="s">
        <v>279</v>
      </c>
      <c r="N135" s="6" t="s">
        <v>346</v>
      </c>
      <c r="O135" s="6" t="s">
        <v>112</v>
      </c>
      <c r="P135" s="6" t="s">
        <v>347</v>
      </c>
      <c r="Q135" s="6" t="s">
        <v>366</v>
      </c>
      <c r="R135" t="s">
        <v>112</v>
      </c>
      <c r="S135" t="s">
        <v>367</v>
      </c>
      <c r="T135"/>
      <c r="U135"/>
      <c r="V135" t="s">
        <v>116</v>
      </c>
      <c r="W135"/>
      <c r="X135"/>
      <c r="Y135" t="s">
        <v>116</v>
      </c>
      <c r="Z135"/>
      <c r="AA135"/>
      <c r="AB135" t="s">
        <v>116</v>
      </c>
      <c r="AC135"/>
      <c r="AD135"/>
      <c r="AE135" t="s">
        <v>116</v>
      </c>
      <c r="AF135" t="s">
        <v>117</v>
      </c>
      <c r="AG135" t="s">
        <v>118</v>
      </c>
      <c r="AH135" t="s">
        <v>119</v>
      </c>
      <c r="AI135" t="s">
        <v>120</v>
      </c>
      <c r="AJ135" t="s">
        <v>121</v>
      </c>
      <c r="AK135" t="s">
        <v>122</v>
      </c>
      <c r="AL135"/>
      <c r="AM135"/>
      <c r="AN135" t="s">
        <v>116</v>
      </c>
      <c r="AO135"/>
      <c r="AP135"/>
      <c r="AQ135" t="s">
        <v>116</v>
      </c>
      <c r="AR135"/>
      <c r="AS135"/>
      <c r="AT135" t="s">
        <v>116</v>
      </c>
      <c r="AU135"/>
      <c r="AV135"/>
      <c r="AW135" t="s">
        <v>116</v>
      </c>
      <c r="AX135"/>
      <c r="AY135"/>
      <c r="AZ135" t="s">
        <v>116</v>
      </c>
      <c r="BA135"/>
      <c r="BB135"/>
      <c r="BC135" t="s">
        <v>116</v>
      </c>
      <c r="BD135"/>
      <c r="BE135"/>
      <c r="BF135" t="s">
        <v>116</v>
      </c>
      <c r="BG135"/>
      <c r="BH135"/>
      <c r="BI135" t="s">
        <v>116</v>
      </c>
      <c r="BJ135"/>
      <c r="BK135"/>
      <c r="BL135" s="8">
        <v>350</v>
      </c>
      <c r="BM135" s="8">
        <v>0</v>
      </c>
      <c r="BN135" s="8">
        <v>0</v>
      </c>
      <c r="BO135" s="8">
        <v>0</v>
      </c>
      <c r="BP135" s="8">
        <v>350</v>
      </c>
      <c r="BQ135" s="8">
        <v>0</v>
      </c>
      <c r="BR135" s="8">
        <v>0</v>
      </c>
      <c r="BS135" s="8">
        <v>0</v>
      </c>
      <c r="BT135" s="8">
        <v>0</v>
      </c>
      <c r="BU135" s="8">
        <v>0</v>
      </c>
      <c r="BV135" s="8">
        <v>0</v>
      </c>
      <c r="BW135" s="8">
        <v>0</v>
      </c>
      <c r="BX135" s="8">
        <v>0</v>
      </c>
      <c r="BY135" t="s">
        <v>99</v>
      </c>
      <c r="BZ135" t="s">
        <v>123</v>
      </c>
      <c r="CA135"/>
      <c r="CB135"/>
      <c r="CC135"/>
      <c r="CD135"/>
      <c r="CE135"/>
      <c r="CF135"/>
      <c r="CG135"/>
      <c r="CH135"/>
      <c r="CI135"/>
      <c r="CJ135"/>
      <c r="CK135"/>
      <c r="CL135"/>
      <c r="CM135"/>
      <c r="CN135"/>
      <c r="CO135"/>
      <c r="CP135"/>
      <c r="CQ135"/>
      <c r="CR135"/>
      <c r="CS135"/>
      <c r="CT135"/>
      <c r="CU135"/>
      <c r="CV135"/>
      <c r="CW135"/>
      <c r="CX135"/>
      <c r="CY135"/>
      <c r="CZ135"/>
      <c r="DA135"/>
      <c r="DB135"/>
      <c r="DC135"/>
      <c r="DD135"/>
    </row>
    <row r="136" spans="1:108" x14ac:dyDescent="0.25">
      <c r="A136" t="s">
        <v>99</v>
      </c>
      <c r="B136" t="s">
        <v>100</v>
      </c>
      <c r="C136" t="s">
        <v>5</v>
      </c>
      <c r="D136" t="s">
        <v>101</v>
      </c>
      <c r="E136" t="s">
        <v>102</v>
      </c>
      <c r="F136" t="s">
        <v>103</v>
      </c>
      <c r="G136" t="s">
        <v>104</v>
      </c>
      <c r="H136" t="s">
        <v>105</v>
      </c>
      <c r="I136" s="6" t="s">
        <v>106</v>
      </c>
      <c r="J136" s="6" t="s">
        <v>107</v>
      </c>
      <c r="K136" s="6" t="s">
        <v>277</v>
      </c>
      <c r="L136" s="6" t="s">
        <v>278</v>
      </c>
      <c r="M136" s="6" t="s">
        <v>279</v>
      </c>
      <c r="N136" s="6" t="s">
        <v>346</v>
      </c>
      <c r="O136" s="6" t="s">
        <v>112</v>
      </c>
      <c r="P136" s="6" t="s">
        <v>347</v>
      </c>
      <c r="Q136" s="6" t="s">
        <v>366</v>
      </c>
      <c r="R136" t="s">
        <v>112</v>
      </c>
      <c r="S136" t="s">
        <v>367</v>
      </c>
      <c r="T136"/>
      <c r="U136"/>
      <c r="V136" t="s">
        <v>116</v>
      </c>
      <c r="W136"/>
      <c r="X136"/>
      <c r="Y136" t="s">
        <v>116</v>
      </c>
      <c r="Z136"/>
      <c r="AA136"/>
      <c r="AB136" t="s">
        <v>116</v>
      </c>
      <c r="AC136"/>
      <c r="AD136"/>
      <c r="AE136" t="s">
        <v>116</v>
      </c>
      <c r="AF136" t="s">
        <v>117</v>
      </c>
      <c r="AG136" t="s">
        <v>118</v>
      </c>
      <c r="AH136" t="s">
        <v>119</v>
      </c>
      <c r="AI136" t="s">
        <v>120</v>
      </c>
      <c r="AJ136" t="s">
        <v>121</v>
      </c>
      <c r="AK136" t="s">
        <v>122</v>
      </c>
      <c r="AL136" t="s">
        <v>356</v>
      </c>
      <c r="AM136" t="s">
        <v>357</v>
      </c>
      <c r="AN136" t="s">
        <v>358</v>
      </c>
      <c r="AO136"/>
      <c r="AP136"/>
      <c r="AQ136" t="s">
        <v>116</v>
      </c>
      <c r="AR136"/>
      <c r="AS136"/>
      <c r="AT136" t="s">
        <v>116</v>
      </c>
      <c r="AU136"/>
      <c r="AV136"/>
      <c r="AW136" t="s">
        <v>116</v>
      </c>
      <c r="AX136"/>
      <c r="AY136"/>
      <c r="AZ136" t="s">
        <v>116</v>
      </c>
      <c r="BA136"/>
      <c r="BB136"/>
      <c r="BC136" t="s">
        <v>116</v>
      </c>
      <c r="BD136"/>
      <c r="BE136"/>
      <c r="BF136" t="s">
        <v>116</v>
      </c>
      <c r="BG136"/>
      <c r="BH136"/>
      <c r="BI136" t="s">
        <v>116</v>
      </c>
      <c r="BJ136"/>
      <c r="BK136"/>
      <c r="BL136" s="8">
        <v>0</v>
      </c>
      <c r="BM136" s="8">
        <v>162.75</v>
      </c>
      <c r="BN136" s="8">
        <v>162.75</v>
      </c>
      <c r="BO136" s="8">
        <v>0</v>
      </c>
      <c r="BP136" s="8">
        <v>-162.75</v>
      </c>
      <c r="BQ136" s="8">
        <v>0</v>
      </c>
      <c r="BR136" s="8">
        <v>0</v>
      </c>
      <c r="BS136" s="8">
        <v>0</v>
      </c>
      <c r="BT136" s="8">
        <v>0</v>
      </c>
      <c r="BU136" s="8">
        <v>0</v>
      </c>
      <c r="BV136" s="8">
        <v>0</v>
      </c>
      <c r="BW136" s="8">
        <v>0</v>
      </c>
      <c r="BX136" s="8">
        <v>0</v>
      </c>
      <c r="BY136" t="s">
        <v>99</v>
      </c>
      <c r="BZ136" t="s">
        <v>123</v>
      </c>
      <c r="CA136"/>
      <c r="CB136"/>
      <c r="CC136"/>
      <c r="CD136"/>
      <c r="CE136"/>
      <c r="CF136"/>
      <c r="CG136"/>
      <c r="CH136"/>
      <c r="CI136"/>
      <c r="CJ136"/>
      <c r="CK136"/>
      <c r="CL136"/>
      <c r="CM136"/>
      <c r="CN136"/>
      <c r="CO136"/>
      <c r="CP136"/>
      <c r="CQ136"/>
      <c r="CR136"/>
      <c r="CS136"/>
      <c r="CT136"/>
      <c r="CU136"/>
      <c r="CV136"/>
      <c r="CW136"/>
      <c r="CX136"/>
      <c r="CY136"/>
      <c r="CZ136"/>
      <c r="DA136"/>
      <c r="DB136"/>
      <c r="DC136"/>
      <c r="DD136"/>
    </row>
    <row r="137" spans="1:108" x14ac:dyDescent="0.25">
      <c r="A137" t="s">
        <v>99</v>
      </c>
      <c r="B137" t="s">
        <v>100</v>
      </c>
      <c r="C137" t="s">
        <v>5</v>
      </c>
      <c r="D137" t="s">
        <v>101</v>
      </c>
      <c r="E137" t="s">
        <v>102</v>
      </c>
      <c r="F137" t="s">
        <v>103</v>
      </c>
      <c r="G137" t="s">
        <v>104</v>
      </c>
      <c r="H137" t="s">
        <v>105</v>
      </c>
      <c r="I137" s="6" t="s">
        <v>106</v>
      </c>
      <c r="J137" s="6" t="s">
        <v>107</v>
      </c>
      <c r="K137" s="6" t="s">
        <v>277</v>
      </c>
      <c r="L137" s="6" t="s">
        <v>278</v>
      </c>
      <c r="M137" s="6" t="s">
        <v>279</v>
      </c>
      <c r="N137" s="6" t="s">
        <v>346</v>
      </c>
      <c r="O137" s="6" t="s">
        <v>112</v>
      </c>
      <c r="P137" s="6" t="s">
        <v>347</v>
      </c>
      <c r="Q137" s="6" t="s">
        <v>368</v>
      </c>
      <c r="R137" t="s">
        <v>112</v>
      </c>
      <c r="S137" t="s">
        <v>369</v>
      </c>
      <c r="T137"/>
      <c r="U137"/>
      <c r="V137" t="s">
        <v>116</v>
      </c>
      <c r="W137"/>
      <c r="X137"/>
      <c r="Y137" t="s">
        <v>116</v>
      </c>
      <c r="Z137"/>
      <c r="AA137"/>
      <c r="AB137" t="s">
        <v>116</v>
      </c>
      <c r="AC137"/>
      <c r="AD137"/>
      <c r="AE137" t="s">
        <v>116</v>
      </c>
      <c r="AF137" t="s">
        <v>117</v>
      </c>
      <c r="AG137" t="s">
        <v>118</v>
      </c>
      <c r="AH137" t="s">
        <v>119</v>
      </c>
      <c r="AI137" t="s">
        <v>120</v>
      </c>
      <c r="AJ137" t="s">
        <v>121</v>
      </c>
      <c r="AK137" t="s">
        <v>122</v>
      </c>
      <c r="AL137"/>
      <c r="AM137"/>
      <c r="AN137" t="s">
        <v>116</v>
      </c>
      <c r="AO137"/>
      <c r="AP137"/>
      <c r="AQ137" t="s">
        <v>116</v>
      </c>
      <c r="AR137"/>
      <c r="AS137"/>
      <c r="AT137" t="s">
        <v>116</v>
      </c>
      <c r="AU137"/>
      <c r="AV137"/>
      <c r="AW137" t="s">
        <v>116</v>
      </c>
      <c r="AX137"/>
      <c r="AY137"/>
      <c r="AZ137" t="s">
        <v>116</v>
      </c>
      <c r="BA137"/>
      <c r="BB137"/>
      <c r="BC137" t="s">
        <v>116</v>
      </c>
      <c r="BD137"/>
      <c r="BE137"/>
      <c r="BF137" t="s">
        <v>116</v>
      </c>
      <c r="BG137"/>
      <c r="BH137"/>
      <c r="BI137" t="s">
        <v>116</v>
      </c>
      <c r="BJ137"/>
      <c r="BK137"/>
      <c r="BL137" s="8">
        <v>8000</v>
      </c>
      <c r="BM137" s="8">
        <v>0</v>
      </c>
      <c r="BN137" s="8">
        <v>0</v>
      </c>
      <c r="BO137" s="8">
        <v>0</v>
      </c>
      <c r="BP137" s="8">
        <v>8000</v>
      </c>
      <c r="BQ137" s="8">
        <v>0</v>
      </c>
      <c r="BR137" s="8">
        <v>0</v>
      </c>
      <c r="BS137" s="8">
        <v>0</v>
      </c>
      <c r="BT137" s="8">
        <v>0</v>
      </c>
      <c r="BU137" s="8">
        <v>0</v>
      </c>
      <c r="BV137" s="8">
        <v>0</v>
      </c>
      <c r="BW137" s="8">
        <v>0</v>
      </c>
      <c r="BX137" s="8">
        <v>0</v>
      </c>
      <c r="BY137" t="s">
        <v>99</v>
      </c>
      <c r="BZ137" t="s">
        <v>123</v>
      </c>
      <c r="CA137"/>
      <c r="CB137"/>
      <c r="CC137"/>
      <c r="CD137"/>
      <c r="CE137"/>
      <c r="CF137"/>
      <c r="CG137"/>
      <c r="CH137"/>
      <c r="CI137"/>
      <c r="CJ137"/>
      <c r="CK137"/>
      <c r="CL137"/>
      <c r="CM137"/>
      <c r="CN137"/>
      <c r="CO137"/>
      <c r="CP137"/>
      <c r="CQ137"/>
      <c r="CR137"/>
      <c r="CS137"/>
      <c r="CT137"/>
      <c r="CU137"/>
      <c r="CV137"/>
      <c r="CW137"/>
      <c r="CX137"/>
      <c r="CY137"/>
      <c r="CZ137"/>
      <c r="DA137"/>
      <c r="DB137"/>
      <c r="DC137"/>
      <c r="DD137"/>
    </row>
    <row r="138" spans="1:108" x14ac:dyDescent="0.25">
      <c r="A138" t="s">
        <v>99</v>
      </c>
      <c r="B138" t="s">
        <v>100</v>
      </c>
      <c r="C138" t="s">
        <v>5</v>
      </c>
      <c r="D138" t="s">
        <v>101</v>
      </c>
      <c r="E138" t="s">
        <v>102</v>
      </c>
      <c r="F138" t="s">
        <v>103</v>
      </c>
      <c r="G138" t="s">
        <v>104</v>
      </c>
      <c r="H138" t="s">
        <v>105</v>
      </c>
      <c r="I138" s="6" t="s">
        <v>106</v>
      </c>
      <c r="J138" s="6" t="s">
        <v>107</v>
      </c>
      <c r="K138" s="6" t="s">
        <v>277</v>
      </c>
      <c r="L138" s="6" t="s">
        <v>278</v>
      </c>
      <c r="M138" s="6" t="s">
        <v>279</v>
      </c>
      <c r="N138" s="6" t="s">
        <v>346</v>
      </c>
      <c r="O138" s="6" t="s">
        <v>112</v>
      </c>
      <c r="P138" s="6" t="s">
        <v>347</v>
      </c>
      <c r="Q138" s="6" t="s">
        <v>368</v>
      </c>
      <c r="R138" t="s">
        <v>112</v>
      </c>
      <c r="S138" t="s">
        <v>369</v>
      </c>
      <c r="T138"/>
      <c r="U138"/>
      <c r="V138" t="s">
        <v>116</v>
      </c>
      <c r="W138"/>
      <c r="X138"/>
      <c r="Y138" t="s">
        <v>116</v>
      </c>
      <c r="Z138"/>
      <c r="AA138"/>
      <c r="AB138" t="s">
        <v>116</v>
      </c>
      <c r="AC138"/>
      <c r="AD138"/>
      <c r="AE138" t="s">
        <v>116</v>
      </c>
      <c r="AF138" t="s">
        <v>117</v>
      </c>
      <c r="AG138" t="s">
        <v>118</v>
      </c>
      <c r="AH138" t="s">
        <v>119</v>
      </c>
      <c r="AI138" t="s">
        <v>120</v>
      </c>
      <c r="AJ138" t="s">
        <v>121</v>
      </c>
      <c r="AK138" t="s">
        <v>122</v>
      </c>
      <c r="AL138" t="s">
        <v>350</v>
      </c>
      <c r="AM138" t="s">
        <v>351</v>
      </c>
      <c r="AN138" t="s">
        <v>352</v>
      </c>
      <c r="AO138"/>
      <c r="AP138"/>
      <c r="AQ138" t="s">
        <v>116</v>
      </c>
      <c r="AR138"/>
      <c r="AS138"/>
      <c r="AT138" t="s">
        <v>116</v>
      </c>
      <c r="AU138"/>
      <c r="AV138"/>
      <c r="AW138" t="s">
        <v>116</v>
      </c>
      <c r="AX138"/>
      <c r="AY138"/>
      <c r="AZ138" t="s">
        <v>116</v>
      </c>
      <c r="BA138"/>
      <c r="BB138"/>
      <c r="BC138" t="s">
        <v>116</v>
      </c>
      <c r="BD138"/>
      <c r="BE138"/>
      <c r="BF138" t="s">
        <v>116</v>
      </c>
      <c r="BG138"/>
      <c r="BH138"/>
      <c r="BI138" t="s">
        <v>116</v>
      </c>
      <c r="BJ138"/>
      <c r="BK138"/>
      <c r="BL138" s="8">
        <v>0</v>
      </c>
      <c r="BM138" s="8">
        <v>105</v>
      </c>
      <c r="BN138" s="8">
        <v>105</v>
      </c>
      <c r="BO138" s="8">
        <v>0</v>
      </c>
      <c r="BP138" s="8">
        <v>-105</v>
      </c>
      <c r="BQ138" s="8">
        <v>0</v>
      </c>
      <c r="BR138" s="8">
        <v>0</v>
      </c>
      <c r="BS138" s="8">
        <v>0</v>
      </c>
      <c r="BT138" s="8">
        <v>0</v>
      </c>
      <c r="BU138" s="8">
        <v>0</v>
      </c>
      <c r="BV138" s="8">
        <v>0</v>
      </c>
      <c r="BW138" s="8">
        <v>0</v>
      </c>
      <c r="BX138" s="8">
        <v>0</v>
      </c>
      <c r="BY138" t="s">
        <v>99</v>
      </c>
      <c r="BZ138" t="s">
        <v>123</v>
      </c>
      <c r="CA138"/>
      <c r="CB138"/>
      <c r="CC138"/>
      <c r="CD138"/>
      <c r="CE138"/>
      <c r="CF138"/>
      <c r="CG138"/>
      <c r="CH138"/>
      <c r="CI138"/>
      <c r="CJ138"/>
      <c r="CK138"/>
      <c r="CL138"/>
      <c r="CM138"/>
      <c r="CN138"/>
      <c r="CO138"/>
      <c r="CP138"/>
      <c r="CQ138"/>
      <c r="CR138"/>
      <c r="CS138"/>
      <c r="CT138"/>
      <c r="CU138"/>
      <c r="CV138"/>
      <c r="CW138"/>
      <c r="CX138"/>
      <c r="CY138"/>
      <c r="CZ138"/>
      <c r="DA138"/>
      <c r="DB138"/>
      <c r="DC138"/>
      <c r="DD138"/>
    </row>
    <row r="139" spans="1:108" x14ac:dyDescent="0.25">
      <c r="A139" t="s">
        <v>99</v>
      </c>
      <c r="B139" t="s">
        <v>100</v>
      </c>
      <c r="C139" t="s">
        <v>5</v>
      </c>
      <c r="D139" t="s">
        <v>101</v>
      </c>
      <c r="E139" t="s">
        <v>102</v>
      </c>
      <c r="F139" t="s">
        <v>103</v>
      </c>
      <c r="G139" t="s">
        <v>104</v>
      </c>
      <c r="H139" t="s">
        <v>105</v>
      </c>
      <c r="I139" s="6" t="s">
        <v>106</v>
      </c>
      <c r="J139" s="6" t="s">
        <v>107</v>
      </c>
      <c r="K139" s="6" t="s">
        <v>277</v>
      </c>
      <c r="L139" s="6" t="s">
        <v>278</v>
      </c>
      <c r="M139" s="6" t="s">
        <v>279</v>
      </c>
      <c r="N139" s="6" t="s">
        <v>346</v>
      </c>
      <c r="O139" s="6" t="s">
        <v>112</v>
      </c>
      <c r="P139" s="6" t="s">
        <v>347</v>
      </c>
      <c r="Q139" s="6" t="s">
        <v>368</v>
      </c>
      <c r="R139" t="s">
        <v>112</v>
      </c>
      <c r="S139" t="s">
        <v>369</v>
      </c>
      <c r="T139"/>
      <c r="U139"/>
      <c r="V139" t="s">
        <v>116</v>
      </c>
      <c r="W139"/>
      <c r="X139"/>
      <c r="Y139" t="s">
        <v>116</v>
      </c>
      <c r="Z139"/>
      <c r="AA139"/>
      <c r="AB139" t="s">
        <v>116</v>
      </c>
      <c r="AC139"/>
      <c r="AD139"/>
      <c r="AE139" t="s">
        <v>116</v>
      </c>
      <c r="AF139" t="s">
        <v>117</v>
      </c>
      <c r="AG139" t="s">
        <v>118</v>
      </c>
      <c r="AH139" t="s">
        <v>119</v>
      </c>
      <c r="AI139" t="s">
        <v>120</v>
      </c>
      <c r="AJ139" t="s">
        <v>121</v>
      </c>
      <c r="AK139" t="s">
        <v>122</v>
      </c>
      <c r="AL139" t="s">
        <v>164</v>
      </c>
      <c r="AM139" t="s">
        <v>165</v>
      </c>
      <c r="AN139" t="s">
        <v>166</v>
      </c>
      <c r="AO139"/>
      <c r="AP139"/>
      <c r="AQ139" t="s">
        <v>116</v>
      </c>
      <c r="AR139"/>
      <c r="AS139"/>
      <c r="AT139" t="s">
        <v>116</v>
      </c>
      <c r="AU139"/>
      <c r="AV139"/>
      <c r="AW139" t="s">
        <v>116</v>
      </c>
      <c r="AX139"/>
      <c r="AY139"/>
      <c r="AZ139" t="s">
        <v>116</v>
      </c>
      <c r="BA139"/>
      <c r="BB139"/>
      <c r="BC139" t="s">
        <v>116</v>
      </c>
      <c r="BD139"/>
      <c r="BE139"/>
      <c r="BF139" t="s">
        <v>116</v>
      </c>
      <c r="BG139"/>
      <c r="BH139"/>
      <c r="BI139" t="s">
        <v>116</v>
      </c>
      <c r="BJ139"/>
      <c r="BK139"/>
      <c r="BL139" s="8">
        <v>0</v>
      </c>
      <c r="BM139" s="8">
        <v>3171.56</v>
      </c>
      <c r="BN139" s="8">
        <v>3171.56</v>
      </c>
      <c r="BO139" s="8">
        <v>0</v>
      </c>
      <c r="BP139" s="8">
        <v>-3171.56</v>
      </c>
      <c r="BQ139" s="8">
        <v>0</v>
      </c>
      <c r="BR139" s="8">
        <v>0</v>
      </c>
      <c r="BS139" s="8">
        <v>0</v>
      </c>
      <c r="BT139" s="8">
        <v>0</v>
      </c>
      <c r="BU139" s="8">
        <v>0</v>
      </c>
      <c r="BV139" s="8">
        <v>0</v>
      </c>
      <c r="BW139" s="8">
        <v>0</v>
      </c>
      <c r="BX139" s="8">
        <v>0</v>
      </c>
      <c r="BY139" t="s">
        <v>99</v>
      </c>
      <c r="BZ139" t="s">
        <v>123</v>
      </c>
      <c r="CA139"/>
      <c r="CB139"/>
      <c r="CC139"/>
      <c r="CD139"/>
      <c r="CE139"/>
      <c r="CF139"/>
      <c r="CG139"/>
      <c r="CH139"/>
      <c r="CI139"/>
      <c r="CJ139"/>
      <c r="CK139"/>
      <c r="CL139"/>
      <c r="CM139"/>
      <c r="CN139"/>
      <c r="CO139"/>
      <c r="CP139"/>
      <c r="CQ139"/>
      <c r="CR139"/>
      <c r="CS139"/>
      <c r="CT139"/>
      <c r="CU139"/>
      <c r="CV139"/>
      <c r="CW139"/>
      <c r="CX139"/>
      <c r="CY139"/>
      <c r="CZ139"/>
      <c r="DA139"/>
      <c r="DB139"/>
      <c r="DC139"/>
      <c r="DD139"/>
    </row>
    <row r="140" spans="1:108" x14ac:dyDescent="0.25">
      <c r="A140" t="s">
        <v>99</v>
      </c>
      <c r="B140" t="s">
        <v>100</v>
      </c>
      <c r="C140" t="s">
        <v>5</v>
      </c>
      <c r="D140" t="s">
        <v>101</v>
      </c>
      <c r="E140" t="s">
        <v>102</v>
      </c>
      <c r="F140" t="s">
        <v>103</v>
      </c>
      <c r="G140" t="s">
        <v>104</v>
      </c>
      <c r="H140" t="s">
        <v>105</v>
      </c>
      <c r="I140" s="6" t="s">
        <v>106</v>
      </c>
      <c r="J140" s="6" t="s">
        <v>107</v>
      </c>
      <c r="K140" s="6" t="s">
        <v>277</v>
      </c>
      <c r="L140" s="6" t="s">
        <v>278</v>
      </c>
      <c r="M140" s="6" t="s">
        <v>279</v>
      </c>
      <c r="N140" s="6" t="s">
        <v>346</v>
      </c>
      <c r="O140" s="6" t="s">
        <v>112</v>
      </c>
      <c r="P140" s="6" t="s">
        <v>347</v>
      </c>
      <c r="Q140" s="6" t="s">
        <v>368</v>
      </c>
      <c r="R140" t="s">
        <v>112</v>
      </c>
      <c r="S140" t="s">
        <v>369</v>
      </c>
      <c r="T140"/>
      <c r="U140"/>
      <c r="V140" t="s">
        <v>116</v>
      </c>
      <c r="W140"/>
      <c r="X140"/>
      <c r="Y140" t="s">
        <v>116</v>
      </c>
      <c r="Z140"/>
      <c r="AA140"/>
      <c r="AB140" t="s">
        <v>116</v>
      </c>
      <c r="AC140"/>
      <c r="AD140"/>
      <c r="AE140" t="s">
        <v>116</v>
      </c>
      <c r="AF140" t="s">
        <v>117</v>
      </c>
      <c r="AG140" t="s">
        <v>118</v>
      </c>
      <c r="AH140" t="s">
        <v>119</v>
      </c>
      <c r="AI140" t="s">
        <v>120</v>
      </c>
      <c r="AJ140" t="s">
        <v>121</v>
      </c>
      <c r="AK140" t="s">
        <v>122</v>
      </c>
      <c r="AL140" t="s">
        <v>370</v>
      </c>
      <c r="AM140" t="s">
        <v>371</v>
      </c>
      <c r="AN140" t="s">
        <v>372</v>
      </c>
      <c r="AO140"/>
      <c r="AP140"/>
      <c r="AQ140" t="s">
        <v>116</v>
      </c>
      <c r="AR140"/>
      <c r="AS140"/>
      <c r="AT140" t="s">
        <v>116</v>
      </c>
      <c r="AU140"/>
      <c r="AV140"/>
      <c r="AW140" t="s">
        <v>116</v>
      </c>
      <c r="AX140"/>
      <c r="AY140"/>
      <c r="AZ140" t="s">
        <v>116</v>
      </c>
      <c r="BA140"/>
      <c r="BB140"/>
      <c r="BC140" t="s">
        <v>116</v>
      </c>
      <c r="BD140"/>
      <c r="BE140"/>
      <c r="BF140" t="s">
        <v>116</v>
      </c>
      <c r="BG140"/>
      <c r="BH140"/>
      <c r="BI140" t="s">
        <v>116</v>
      </c>
      <c r="BJ140"/>
      <c r="BK140"/>
      <c r="BL140" s="8">
        <v>0</v>
      </c>
      <c r="BM140" s="8">
        <v>679.5</v>
      </c>
      <c r="BN140" s="8">
        <v>679.5</v>
      </c>
      <c r="BO140" s="8">
        <v>0</v>
      </c>
      <c r="BP140" s="8">
        <v>-679.5</v>
      </c>
      <c r="BQ140" s="8">
        <v>0</v>
      </c>
      <c r="BR140" s="8">
        <v>0</v>
      </c>
      <c r="BS140" s="8">
        <v>0</v>
      </c>
      <c r="BT140" s="8">
        <v>0</v>
      </c>
      <c r="BU140" s="8">
        <v>0</v>
      </c>
      <c r="BV140" s="8">
        <v>0</v>
      </c>
      <c r="BW140" s="8">
        <v>0</v>
      </c>
      <c r="BX140" s="8">
        <v>0</v>
      </c>
      <c r="BY140" t="s">
        <v>99</v>
      </c>
      <c r="BZ140" t="s">
        <v>123</v>
      </c>
      <c r="CA140"/>
      <c r="CB140"/>
      <c r="CC140"/>
      <c r="CD140"/>
      <c r="CE140"/>
      <c r="CF140"/>
      <c r="CG140"/>
      <c r="CH140"/>
      <c r="CI140"/>
      <c r="CJ140"/>
      <c r="CK140"/>
      <c r="CL140"/>
      <c r="CM140"/>
      <c r="CN140"/>
      <c r="CO140"/>
      <c r="CP140"/>
      <c r="CQ140"/>
      <c r="CR140"/>
      <c r="CS140"/>
      <c r="CT140"/>
      <c r="CU140"/>
      <c r="CV140"/>
      <c r="CW140"/>
      <c r="CX140"/>
      <c r="CY140"/>
      <c r="CZ140"/>
      <c r="DA140"/>
      <c r="DB140"/>
      <c r="DC140"/>
      <c r="DD140"/>
    </row>
    <row r="141" spans="1:108" x14ac:dyDescent="0.25">
      <c r="A141" t="s">
        <v>99</v>
      </c>
      <c r="B141" t="s">
        <v>100</v>
      </c>
      <c r="C141" t="s">
        <v>5</v>
      </c>
      <c r="D141" t="s">
        <v>101</v>
      </c>
      <c r="E141" t="s">
        <v>102</v>
      </c>
      <c r="F141" t="s">
        <v>103</v>
      </c>
      <c r="G141" t="s">
        <v>104</v>
      </c>
      <c r="H141" t="s">
        <v>105</v>
      </c>
      <c r="I141" s="6" t="s">
        <v>106</v>
      </c>
      <c r="J141" s="6" t="s">
        <v>107</v>
      </c>
      <c r="K141" s="6" t="s">
        <v>277</v>
      </c>
      <c r="L141" s="6" t="s">
        <v>278</v>
      </c>
      <c r="M141" s="6" t="s">
        <v>279</v>
      </c>
      <c r="N141" s="6" t="s">
        <v>346</v>
      </c>
      <c r="O141" s="6" t="s">
        <v>112</v>
      </c>
      <c r="P141" s="6" t="s">
        <v>347</v>
      </c>
      <c r="Q141" s="6" t="s">
        <v>373</v>
      </c>
      <c r="R141" t="s">
        <v>112</v>
      </c>
      <c r="S141" t="s">
        <v>374</v>
      </c>
      <c r="T141"/>
      <c r="U141"/>
      <c r="V141" t="s">
        <v>116</v>
      </c>
      <c r="W141"/>
      <c r="X141"/>
      <c r="Y141" t="s">
        <v>116</v>
      </c>
      <c r="Z141"/>
      <c r="AA141"/>
      <c r="AB141" t="s">
        <v>116</v>
      </c>
      <c r="AC141"/>
      <c r="AD141"/>
      <c r="AE141" t="s">
        <v>116</v>
      </c>
      <c r="AF141" t="s">
        <v>117</v>
      </c>
      <c r="AG141" t="s">
        <v>118</v>
      </c>
      <c r="AH141" t="s">
        <v>119</v>
      </c>
      <c r="AI141" t="s">
        <v>120</v>
      </c>
      <c r="AJ141" t="s">
        <v>121</v>
      </c>
      <c r="AK141" t="s">
        <v>122</v>
      </c>
      <c r="AL141"/>
      <c r="AM141"/>
      <c r="AN141" t="s">
        <v>116</v>
      </c>
      <c r="AO141"/>
      <c r="AP141"/>
      <c r="AQ141" t="s">
        <v>116</v>
      </c>
      <c r="AR141"/>
      <c r="AS141"/>
      <c r="AT141" t="s">
        <v>116</v>
      </c>
      <c r="AU141"/>
      <c r="AV141"/>
      <c r="AW141" t="s">
        <v>116</v>
      </c>
      <c r="AX141"/>
      <c r="AY141"/>
      <c r="AZ141" t="s">
        <v>116</v>
      </c>
      <c r="BA141"/>
      <c r="BB141"/>
      <c r="BC141" t="s">
        <v>116</v>
      </c>
      <c r="BD141"/>
      <c r="BE141"/>
      <c r="BF141" t="s">
        <v>116</v>
      </c>
      <c r="BG141"/>
      <c r="BH141"/>
      <c r="BI141" t="s">
        <v>116</v>
      </c>
      <c r="BJ141"/>
      <c r="BK141"/>
      <c r="BL141" s="8">
        <v>8000</v>
      </c>
      <c r="BM141" s="8">
        <v>0</v>
      </c>
      <c r="BN141" s="8">
        <v>0</v>
      </c>
      <c r="BO141" s="8">
        <v>0</v>
      </c>
      <c r="BP141" s="8">
        <v>8000</v>
      </c>
      <c r="BQ141" s="8">
        <v>0</v>
      </c>
      <c r="BR141" s="8">
        <v>0</v>
      </c>
      <c r="BS141" s="8">
        <v>0</v>
      </c>
      <c r="BT141" s="8">
        <v>0</v>
      </c>
      <c r="BU141" s="8">
        <v>0</v>
      </c>
      <c r="BV141" s="8">
        <v>0</v>
      </c>
      <c r="BW141" s="8">
        <v>0</v>
      </c>
      <c r="BX141" s="8">
        <v>0</v>
      </c>
      <c r="BY141" t="s">
        <v>99</v>
      </c>
      <c r="BZ141" t="s">
        <v>123</v>
      </c>
      <c r="CA141"/>
      <c r="CB141"/>
      <c r="CC141"/>
      <c r="CD141"/>
      <c r="CE141"/>
      <c r="CF141"/>
      <c r="CG141"/>
      <c r="CH141"/>
      <c r="CI141"/>
      <c r="CJ141"/>
      <c r="CK141"/>
      <c r="CL141"/>
      <c r="CM141"/>
      <c r="CN141"/>
      <c r="CO141"/>
      <c r="CP141"/>
      <c r="CQ141"/>
      <c r="CR141"/>
      <c r="CS141"/>
      <c r="CT141"/>
      <c r="CU141"/>
      <c r="CV141"/>
      <c r="CW141"/>
      <c r="CX141"/>
      <c r="CY141"/>
      <c r="CZ141"/>
      <c r="DA141"/>
      <c r="DB141"/>
      <c r="DC141"/>
      <c r="DD141"/>
    </row>
    <row r="142" spans="1:108" x14ac:dyDescent="0.25">
      <c r="A142" t="s">
        <v>99</v>
      </c>
      <c r="B142" t="s">
        <v>100</v>
      </c>
      <c r="C142" t="s">
        <v>5</v>
      </c>
      <c r="D142" t="s">
        <v>101</v>
      </c>
      <c r="E142" t="s">
        <v>102</v>
      </c>
      <c r="F142" t="s">
        <v>103</v>
      </c>
      <c r="G142" t="s">
        <v>104</v>
      </c>
      <c r="H142" t="s">
        <v>105</v>
      </c>
      <c r="I142" s="6" t="s">
        <v>106</v>
      </c>
      <c r="J142" s="6" t="s">
        <v>107</v>
      </c>
      <c r="K142" s="6" t="s">
        <v>277</v>
      </c>
      <c r="L142" s="6" t="s">
        <v>278</v>
      </c>
      <c r="M142" s="6" t="s">
        <v>279</v>
      </c>
      <c r="N142" s="6" t="s">
        <v>346</v>
      </c>
      <c r="O142" s="6" t="s">
        <v>112</v>
      </c>
      <c r="P142" s="6" t="s">
        <v>347</v>
      </c>
      <c r="Q142" s="6" t="s">
        <v>373</v>
      </c>
      <c r="R142" t="s">
        <v>112</v>
      </c>
      <c r="S142" t="s">
        <v>374</v>
      </c>
      <c r="T142"/>
      <c r="U142"/>
      <c r="V142" t="s">
        <v>116</v>
      </c>
      <c r="W142"/>
      <c r="X142"/>
      <c r="Y142" t="s">
        <v>116</v>
      </c>
      <c r="Z142"/>
      <c r="AA142"/>
      <c r="AB142" t="s">
        <v>116</v>
      </c>
      <c r="AC142"/>
      <c r="AD142"/>
      <c r="AE142" t="s">
        <v>116</v>
      </c>
      <c r="AF142" t="s">
        <v>117</v>
      </c>
      <c r="AG142" t="s">
        <v>118</v>
      </c>
      <c r="AH142" t="s">
        <v>119</v>
      </c>
      <c r="AI142" t="s">
        <v>120</v>
      </c>
      <c r="AJ142" t="s">
        <v>121</v>
      </c>
      <c r="AK142" t="s">
        <v>122</v>
      </c>
      <c r="AL142" t="s">
        <v>353</v>
      </c>
      <c r="AM142" t="s">
        <v>354</v>
      </c>
      <c r="AN142" t="s">
        <v>355</v>
      </c>
      <c r="AO142"/>
      <c r="AP142"/>
      <c r="AQ142" t="s">
        <v>116</v>
      </c>
      <c r="AR142"/>
      <c r="AS142"/>
      <c r="AT142" t="s">
        <v>116</v>
      </c>
      <c r="AU142"/>
      <c r="AV142"/>
      <c r="AW142" t="s">
        <v>116</v>
      </c>
      <c r="AX142"/>
      <c r="AY142"/>
      <c r="AZ142" t="s">
        <v>116</v>
      </c>
      <c r="BA142"/>
      <c r="BB142"/>
      <c r="BC142" t="s">
        <v>116</v>
      </c>
      <c r="BD142"/>
      <c r="BE142"/>
      <c r="BF142" t="s">
        <v>116</v>
      </c>
      <c r="BG142"/>
      <c r="BH142"/>
      <c r="BI142" t="s">
        <v>116</v>
      </c>
      <c r="BJ142"/>
      <c r="BK142"/>
      <c r="BL142" s="8">
        <v>0</v>
      </c>
      <c r="BM142" s="8">
        <v>5592.82</v>
      </c>
      <c r="BN142" s="8">
        <v>5592.82</v>
      </c>
      <c r="BO142" s="8">
        <v>0</v>
      </c>
      <c r="BP142" s="8">
        <v>-5592.82</v>
      </c>
      <c r="BQ142" s="8">
        <v>0</v>
      </c>
      <c r="BR142" s="8">
        <v>0</v>
      </c>
      <c r="BS142" s="8">
        <v>0</v>
      </c>
      <c r="BT142" s="8">
        <v>0</v>
      </c>
      <c r="BU142" s="8">
        <v>0</v>
      </c>
      <c r="BV142" s="8">
        <v>0</v>
      </c>
      <c r="BW142" s="8">
        <v>0</v>
      </c>
      <c r="BX142" s="8">
        <v>0</v>
      </c>
      <c r="BY142" t="s">
        <v>99</v>
      </c>
      <c r="BZ142" t="s">
        <v>123</v>
      </c>
      <c r="CA142"/>
      <c r="CB142"/>
      <c r="CC142"/>
      <c r="CD142"/>
      <c r="CE142"/>
      <c r="CF142"/>
      <c r="CG142"/>
      <c r="CH142"/>
      <c r="CI142"/>
      <c r="CJ142"/>
      <c r="CK142"/>
      <c r="CL142"/>
      <c r="CM142"/>
      <c r="CN142"/>
      <c r="CO142"/>
      <c r="CP142"/>
      <c r="CQ142"/>
      <c r="CR142"/>
      <c r="CS142"/>
      <c r="CT142"/>
      <c r="CU142"/>
      <c r="CV142"/>
      <c r="CW142"/>
      <c r="CX142"/>
      <c r="CY142"/>
      <c r="CZ142"/>
      <c r="DA142"/>
      <c r="DB142"/>
      <c r="DC142"/>
      <c r="DD142"/>
    </row>
    <row r="143" spans="1:108" x14ac:dyDescent="0.25">
      <c r="A143" t="s">
        <v>99</v>
      </c>
      <c r="B143" t="s">
        <v>100</v>
      </c>
      <c r="C143" t="s">
        <v>5</v>
      </c>
      <c r="D143" t="s">
        <v>101</v>
      </c>
      <c r="E143" t="s">
        <v>102</v>
      </c>
      <c r="F143" t="s">
        <v>103</v>
      </c>
      <c r="G143" t="s">
        <v>104</v>
      </c>
      <c r="H143" t="s">
        <v>105</v>
      </c>
      <c r="I143" s="6" t="s">
        <v>106</v>
      </c>
      <c r="J143" s="6" t="s">
        <v>107</v>
      </c>
      <c r="K143" s="6" t="s">
        <v>277</v>
      </c>
      <c r="L143" s="6" t="s">
        <v>278</v>
      </c>
      <c r="M143" s="6" t="s">
        <v>279</v>
      </c>
      <c r="N143" s="6" t="s">
        <v>375</v>
      </c>
      <c r="O143" s="6" t="s">
        <v>112</v>
      </c>
      <c r="P143" s="6" t="s">
        <v>376</v>
      </c>
      <c r="Q143" s="6" t="s">
        <v>377</v>
      </c>
      <c r="R143" t="s">
        <v>112</v>
      </c>
      <c r="S143" t="s">
        <v>378</v>
      </c>
      <c r="T143"/>
      <c r="U143"/>
      <c r="V143" t="s">
        <v>116</v>
      </c>
      <c r="W143"/>
      <c r="X143"/>
      <c r="Y143" t="s">
        <v>116</v>
      </c>
      <c r="Z143"/>
      <c r="AA143"/>
      <c r="AB143" t="s">
        <v>116</v>
      </c>
      <c r="AC143"/>
      <c r="AD143"/>
      <c r="AE143" t="s">
        <v>116</v>
      </c>
      <c r="AF143" t="s">
        <v>117</v>
      </c>
      <c r="AG143" t="s">
        <v>118</v>
      </c>
      <c r="AH143" t="s">
        <v>119</v>
      </c>
      <c r="AI143" t="s">
        <v>379</v>
      </c>
      <c r="AJ143" t="s">
        <v>380</v>
      </c>
      <c r="AK143" t="s">
        <v>381</v>
      </c>
      <c r="AL143"/>
      <c r="AM143"/>
      <c r="AN143" t="s">
        <v>116</v>
      </c>
      <c r="AO143"/>
      <c r="AP143"/>
      <c r="AQ143" t="s">
        <v>116</v>
      </c>
      <c r="AR143"/>
      <c r="AS143"/>
      <c r="AT143" t="s">
        <v>116</v>
      </c>
      <c r="AU143"/>
      <c r="AV143"/>
      <c r="AW143" t="s">
        <v>116</v>
      </c>
      <c r="AX143"/>
      <c r="AY143"/>
      <c r="AZ143" t="s">
        <v>116</v>
      </c>
      <c r="BA143"/>
      <c r="BB143"/>
      <c r="BC143" t="s">
        <v>116</v>
      </c>
      <c r="BD143"/>
      <c r="BE143"/>
      <c r="BF143" t="s">
        <v>116</v>
      </c>
      <c r="BG143"/>
      <c r="BH143"/>
      <c r="BI143" t="s">
        <v>116</v>
      </c>
      <c r="BJ143"/>
      <c r="BK143"/>
      <c r="BL143" s="8">
        <v>8380.02</v>
      </c>
      <c r="BM143" s="8">
        <v>0</v>
      </c>
      <c r="BN143" s="8">
        <v>0</v>
      </c>
      <c r="BO143" s="8">
        <v>0</v>
      </c>
      <c r="BP143" s="8">
        <v>8380.02</v>
      </c>
      <c r="BQ143" s="8">
        <v>0</v>
      </c>
      <c r="BR143" s="8">
        <v>0</v>
      </c>
      <c r="BS143" s="8">
        <v>0</v>
      </c>
      <c r="BT143" s="8">
        <v>0</v>
      </c>
      <c r="BU143" s="8">
        <v>0</v>
      </c>
      <c r="BV143" s="8">
        <v>0</v>
      </c>
      <c r="BW143" s="8">
        <v>0</v>
      </c>
      <c r="BX143" s="8">
        <v>0</v>
      </c>
      <c r="BY143" t="s">
        <v>99</v>
      </c>
      <c r="BZ143" t="s">
        <v>123</v>
      </c>
      <c r="CA143"/>
      <c r="CB143"/>
      <c r="CC143"/>
      <c r="CD143"/>
      <c r="CE143"/>
      <c r="CF143"/>
      <c r="CG143"/>
      <c r="CH143"/>
      <c r="CI143"/>
      <c r="CJ143"/>
      <c r="CK143"/>
      <c r="CL143"/>
      <c r="CM143"/>
      <c r="CN143"/>
      <c r="CO143"/>
      <c r="CP143"/>
      <c r="CQ143"/>
      <c r="CR143"/>
      <c r="CS143"/>
      <c r="CT143"/>
      <c r="CU143"/>
      <c r="CV143"/>
      <c r="CW143"/>
      <c r="CX143"/>
      <c r="CY143"/>
      <c r="CZ143"/>
      <c r="DA143"/>
      <c r="DB143"/>
      <c r="DC143"/>
      <c r="DD143"/>
    </row>
    <row r="144" spans="1:108" x14ac:dyDescent="0.25">
      <c r="A144" t="s">
        <v>99</v>
      </c>
      <c r="B144" t="s">
        <v>100</v>
      </c>
      <c r="C144" t="s">
        <v>5</v>
      </c>
      <c r="D144" t="s">
        <v>101</v>
      </c>
      <c r="E144" t="s">
        <v>102</v>
      </c>
      <c r="F144" t="s">
        <v>103</v>
      </c>
      <c r="G144" t="s">
        <v>104</v>
      </c>
      <c r="H144" t="s">
        <v>105</v>
      </c>
      <c r="I144" s="6" t="s">
        <v>106</v>
      </c>
      <c r="J144" s="6" t="s">
        <v>107</v>
      </c>
      <c r="K144" s="6" t="s">
        <v>277</v>
      </c>
      <c r="L144" s="6" t="s">
        <v>278</v>
      </c>
      <c r="M144" s="6" t="s">
        <v>279</v>
      </c>
      <c r="N144" s="6" t="s">
        <v>375</v>
      </c>
      <c r="O144" s="6" t="s">
        <v>112</v>
      </c>
      <c r="P144" s="6" t="s">
        <v>376</v>
      </c>
      <c r="Q144" s="6" t="s">
        <v>377</v>
      </c>
      <c r="R144" t="s">
        <v>112</v>
      </c>
      <c r="S144" t="s">
        <v>378</v>
      </c>
      <c r="T144"/>
      <c r="U144"/>
      <c r="V144" t="s">
        <v>116</v>
      </c>
      <c r="W144"/>
      <c r="X144"/>
      <c r="Y144" t="s">
        <v>116</v>
      </c>
      <c r="Z144"/>
      <c r="AA144"/>
      <c r="AB144" t="s">
        <v>116</v>
      </c>
      <c r="AC144"/>
      <c r="AD144"/>
      <c r="AE144" t="s">
        <v>116</v>
      </c>
      <c r="AF144" t="s">
        <v>117</v>
      </c>
      <c r="AG144" t="s">
        <v>118</v>
      </c>
      <c r="AH144" t="s">
        <v>119</v>
      </c>
      <c r="AI144" t="s">
        <v>379</v>
      </c>
      <c r="AJ144" t="s">
        <v>380</v>
      </c>
      <c r="AK144" t="s">
        <v>381</v>
      </c>
      <c r="AL144" t="s">
        <v>382</v>
      </c>
      <c r="AM144" t="s">
        <v>383</v>
      </c>
      <c r="AN144" t="s">
        <v>384</v>
      </c>
      <c r="AO144"/>
      <c r="AP144"/>
      <c r="AQ144" t="s">
        <v>116</v>
      </c>
      <c r="AR144"/>
      <c r="AS144"/>
      <c r="AT144" t="s">
        <v>116</v>
      </c>
      <c r="AU144"/>
      <c r="AV144"/>
      <c r="AW144" t="s">
        <v>116</v>
      </c>
      <c r="AX144"/>
      <c r="AY144"/>
      <c r="AZ144" t="s">
        <v>116</v>
      </c>
      <c r="BA144"/>
      <c r="BB144"/>
      <c r="BC144" t="s">
        <v>116</v>
      </c>
      <c r="BD144"/>
      <c r="BE144"/>
      <c r="BF144" t="s">
        <v>116</v>
      </c>
      <c r="BG144"/>
      <c r="BH144"/>
      <c r="BI144" t="s">
        <v>116</v>
      </c>
      <c r="BJ144"/>
      <c r="BK144"/>
      <c r="BL144" s="8">
        <v>0</v>
      </c>
      <c r="BM144" s="8">
        <v>7510.58</v>
      </c>
      <c r="BN144" s="8">
        <v>7510.58</v>
      </c>
      <c r="BO144" s="8">
        <v>0</v>
      </c>
      <c r="BP144" s="8">
        <v>-7510.58</v>
      </c>
      <c r="BQ144" s="8">
        <v>0</v>
      </c>
      <c r="BR144" s="8">
        <v>0</v>
      </c>
      <c r="BS144" s="8">
        <v>0</v>
      </c>
      <c r="BT144" s="8">
        <v>0</v>
      </c>
      <c r="BU144" s="8">
        <v>0</v>
      </c>
      <c r="BV144" s="8">
        <v>0</v>
      </c>
      <c r="BW144" s="8">
        <v>0</v>
      </c>
      <c r="BX144" s="8">
        <v>0</v>
      </c>
      <c r="BY144" t="s">
        <v>99</v>
      </c>
      <c r="BZ144" t="s">
        <v>123</v>
      </c>
      <c r="CA144"/>
      <c r="CB144"/>
      <c r="CC144"/>
      <c r="CD144"/>
      <c r="CE144"/>
      <c r="CF144"/>
      <c r="CG144"/>
      <c r="CH144"/>
      <c r="CI144"/>
      <c r="CJ144"/>
      <c r="CK144"/>
      <c r="CL144"/>
      <c r="CM144"/>
      <c r="CN144"/>
      <c r="CO144"/>
      <c r="CP144"/>
      <c r="CQ144"/>
      <c r="CR144"/>
      <c r="CS144"/>
      <c r="CT144"/>
      <c r="CU144"/>
      <c r="CV144"/>
      <c r="CW144"/>
      <c r="CX144"/>
      <c r="CY144"/>
      <c r="CZ144"/>
      <c r="DA144"/>
      <c r="DB144"/>
      <c r="DC144"/>
      <c r="DD144"/>
    </row>
    <row r="145" spans="1:108" x14ac:dyDescent="0.25">
      <c r="A145" t="s">
        <v>99</v>
      </c>
      <c r="B145" t="s">
        <v>100</v>
      </c>
      <c r="C145" t="s">
        <v>5</v>
      </c>
      <c r="D145" t="s">
        <v>101</v>
      </c>
      <c r="E145" t="s">
        <v>102</v>
      </c>
      <c r="F145" t="s">
        <v>103</v>
      </c>
      <c r="G145" t="s">
        <v>104</v>
      </c>
      <c r="H145" t="s">
        <v>105</v>
      </c>
      <c r="I145" s="6" t="s">
        <v>106</v>
      </c>
      <c r="J145" s="6" t="s">
        <v>107</v>
      </c>
      <c r="K145" s="6" t="s">
        <v>277</v>
      </c>
      <c r="L145" s="6" t="s">
        <v>278</v>
      </c>
      <c r="M145" s="6" t="s">
        <v>279</v>
      </c>
      <c r="N145" s="6" t="s">
        <v>385</v>
      </c>
      <c r="O145" s="6" t="s">
        <v>112</v>
      </c>
      <c r="P145" s="6" t="s">
        <v>386</v>
      </c>
      <c r="Q145" s="6" t="s">
        <v>387</v>
      </c>
      <c r="R145" t="s">
        <v>112</v>
      </c>
      <c r="S145" t="s">
        <v>388</v>
      </c>
      <c r="T145"/>
      <c r="U145"/>
      <c r="V145" t="s">
        <v>116</v>
      </c>
      <c r="W145"/>
      <c r="X145"/>
      <c r="Y145" t="s">
        <v>116</v>
      </c>
      <c r="Z145"/>
      <c r="AA145"/>
      <c r="AB145" t="s">
        <v>116</v>
      </c>
      <c r="AC145"/>
      <c r="AD145"/>
      <c r="AE145" t="s">
        <v>116</v>
      </c>
      <c r="AF145" t="s">
        <v>117</v>
      </c>
      <c r="AG145" t="s">
        <v>118</v>
      </c>
      <c r="AH145" t="s">
        <v>119</v>
      </c>
      <c r="AI145" t="s">
        <v>120</v>
      </c>
      <c r="AJ145" t="s">
        <v>121</v>
      </c>
      <c r="AK145" t="s">
        <v>122</v>
      </c>
      <c r="AL145"/>
      <c r="AM145"/>
      <c r="AN145" t="s">
        <v>116</v>
      </c>
      <c r="AO145"/>
      <c r="AP145"/>
      <c r="AQ145" t="s">
        <v>116</v>
      </c>
      <c r="AR145"/>
      <c r="AS145"/>
      <c r="AT145" t="s">
        <v>116</v>
      </c>
      <c r="AU145"/>
      <c r="AV145"/>
      <c r="AW145" t="s">
        <v>116</v>
      </c>
      <c r="AX145"/>
      <c r="AY145"/>
      <c r="AZ145" t="s">
        <v>116</v>
      </c>
      <c r="BA145"/>
      <c r="BB145"/>
      <c r="BC145" t="s">
        <v>116</v>
      </c>
      <c r="BD145"/>
      <c r="BE145"/>
      <c r="BF145" t="s">
        <v>116</v>
      </c>
      <c r="BG145"/>
      <c r="BH145"/>
      <c r="BI145" t="s">
        <v>116</v>
      </c>
      <c r="BJ145"/>
      <c r="BK145"/>
      <c r="BL145" s="8">
        <v>11000</v>
      </c>
      <c r="BM145" s="8">
        <v>0</v>
      </c>
      <c r="BN145" s="8">
        <v>0</v>
      </c>
      <c r="BO145" s="8">
        <v>0</v>
      </c>
      <c r="BP145" s="8">
        <v>11000</v>
      </c>
      <c r="BQ145" s="8">
        <v>0</v>
      </c>
      <c r="BR145" s="8">
        <v>0</v>
      </c>
      <c r="BS145" s="8">
        <v>0</v>
      </c>
      <c r="BT145" s="8">
        <v>0</v>
      </c>
      <c r="BU145" s="8">
        <v>0</v>
      </c>
      <c r="BV145" s="8">
        <v>0</v>
      </c>
      <c r="BW145" s="8">
        <v>0</v>
      </c>
      <c r="BX145" s="8">
        <v>0</v>
      </c>
      <c r="BY145" t="s">
        <v>99</v>
      </c>
      <c r="BZ145" t="s">
        <v>123</v>
      </c>
      <c r="CA145"/>
      <c r="CB145"/>
      <c r="CC145"/>
      <c r="CD145"/>
      <c r="CE145"/>
      <c r="CF145"/>
      <c r="CG145"/>
      <c r="CH145"/>
      <c r="CI145"/>
      <c r="CJ145"/>
      <c r="CK145"/>
      <c r="CL145"/>
      <c r="CM145"/>
      <c r="CN145"/>
      <c r="CO145"/>
      <c r="CP145"/>
      <c r="CQ145"/>
      <c r="CR145"/>
      <c r="CS145"/>
      <c r="CT145"/>
      <c r="CU145"/>
      <c r="CV145"/>
      <c r="CW145"/>
      <c r="CX145"/>
      <c r="CY145"/>
      <c r="CZ145"/>
      <c r="DA145"/>
      <c r="DB145"/>
      <c r="DC145"/>
      <c r="DD145"/>
    </row>
    <row r="146" spans="1:108" x14ac:dyDescent="0.25">
      <c r="A146" t="s">
        <v>99</v>
      </c>
      <c r="B146" t="s">
        <v>100</v>
      </c>
      <c r="C146" t="s">
        <v>5</v>
      </c>
      <c r="D146" t="s">
        <v>101</v>
      </c>
      <c r="E146" t="s">
        <v>102</v>
      </c>
      <c r="F146" t="s">
        <v>103</v>
      </c>
      <c r="G146" t="s">
        <v>104</v>
      </c>
      <c r="H146" t="s">
        <v>105</v>
      </c>
      <c r="I146" s="6" t="s">
        <v>106</v>
      </c>
      <c r="J146" s="6" t="s">
        <v>107</v>
      </c>
      <c r="K146" s="6" t="s">
        <v>277</v>
      </c>
      <c r="L146" s="6" t="s">
        <v>278</v>
      </c>
      <c r="M146" s="6" t="s">
        <v>279</v>
      </c>
      <c r="N146" s="6" t="s">
        <v>385</v>
      </c>
      <c r="O146" s="6" t="s">
        <v>112</v>
      </c>
      <c r="P146" s="6" t="s">
        <v>386</v>
      </c>
      <c r="Q146" s="6" t="s">
        <v>387</v>
      </c>
      <c r="R146" t="s">
        <v>112</v>
      </c>
      <c r="S146" t="s">
        <v>388</v>
      </c>
      <c r="T146"/>
      <c r="U146"/>
      <c r="V146" t="s">
        <v>116</v>
      </c>
      <c r="W146"/>
      <c r="X146"/>
      <c r="Y146" t="s">
        <v>116</v>
      </c>
      <c r="Z146"/>
      <c r="AA146"/>
      <c r="AB146" t="s">
        <v>116</v>
      </c>
      <c r="AC146"/>
      <c r="AD146"/>
      <c r="AE146" t="s">
        <v>116</v>
      </c>
      <c r="AF146" t="s">
        <v>117</v>
      </c>
      <c r="AG146" t="s">
        <v>118</v>
      </c>
      <c r="AH146" t="s">
        <v>119</v>
      </c>
      <c r="AI146" t="s">
        <v>120</v>
      </c>
      <c r="AJ146" t="s">
        <v>121</v>
      </c>
      <c r="AK146" t="s">
        <v>122</v>
      </c>
      <c r="AL146" t="s">
        <v>363</v>
      </c>
      <c r="AM146" t="s">
        <v>364</v>
      </c>
      <c r="AN146" t="s">
        <v>365</v>
      </c>
      <c r="AO146"/>
      <c r="AP146"/>
      <c r="AQ146" t="s">
        <v>116</v>
      </c>
      <c r="AR146"/>
      <c r="AS146"/>
      <c r="AT146" t="s">
        <v>116</v>
      </c>
      <c r="AU146"/>
      <c r="AV146"/>
      <c r="AW146" t="s">
        <v>116</v>
      </c>
      <c r="AX146"/>
      <c r="AY146"/>
      <c r="AZ146" t="s">
        <v>116</v>
      </c>
      <c r="BA146"/>
      <c r="BB146"/>
      <c r="BC146" t="s">
        <v>116</v>
      </c>
      <c r="BD146"/>
      <c r="BE146"/>
      <c r="BF146" t="s">
        <v>116</v>
      </c>
      <c r="BG146"/>
      <c r="BH146"/>
      <c r="BI146" t="s">
        <v>116</v>
      </c>
      <c r="BJ146"/>
      <c r="BK146"/>
      <c r="BL146" s="8">
        <v>0</v>
      </c>
      <c r="BM146" s="8">
        <v>4626.1400000000003</v>
      </c>
      <c r="BN146" s="8">
        <v>4626.1400000000003</v>
      </c>
      <c r="BO146" s="8">
        <v>0</v>
      </c>
      <c r="BP146" s="8">
        <v>-4626.1400000000003</v>
      </c>
      <c r="BQ146" s="8">
        <v>0</v>
      </c>
      <c r="BR146" s="8">
        <v>0</v>
      </c>
      <c r="BS146" s="8">
        <v>0</v>
      </c>
      <c r="BT146" s="8">
        <v>0</v>
      </c>
      <c r="BU146" s="8">
        <v>0</v>
      </c>
      <c r="BV146" s="8">
        <v>0</v>
      </c>
      <c r="BW146" s="8">
        <v>0</v>
      </c>
      <c r="BX146" s="8">
        <v>0</v>
      </c>
      <c r="BY146" t="s">
        <v>99</v>
      </c>
      <c r="BZ146" t="s">
        <v>123</v>
      </c>
      <c r="CA146"/>
      <c r="CB146"/>
      <c r="CC146"/>
      <c r="CD146"/>
      <c r="CE146"/>
      <c r="CF146"/>
      <c r="CG146"/>
      <c r="CH146"/>
      <c r="CI146"/>
      <c r="CJ146"/>
      <c r="CK146"/>
      <c r="CL146"/>
      <c r="CM146"/>
      <c r="CN146"/>
      <c r="CO146"/>
      <c r="CP146"/>
      <c r="CQ146"/>
      <c r="CR146"/>
      <c r="CS146"/>
      <c r="CT146"/>
      <c r="CU146"/>
      <c r="CV146"/>
      <c r="CW146"/>
      <c r="CX146"/>
      <c r="CY146"/>
      <c r="CZ146"/>
      <c r="DA146"/>
      <c r="DB146"/>
      <c r="DC146"/>
      <c r="DD146"/>
    </row>
    <row r="147" spans="1:108" x14ac:dyDescent="0.25">
      <c r="A147" t="s">
        <v>99</v>
      </c>
      <c r="B147" t="s">
        <v>100</v>
      </c>
      <c r="C147" t="s">
        <v>5</v>
      </c>
      <c r="D147" t="s">
        <v>101</v>
      </c>
      <c r="E147" t="s">
        <v>102</v>
      </c>
      <c r="F147" t="s">
        <v>103</v>
      </c>
      <c r="G147" t="s">
        <v>104</v>
      </c>
      <c r="H147" t="s">
        <v>105</v>
      </c>
      <c r="I147" s="6" t="s">
        <v>106</v>
      </c>
      <c r="J147" s="6" t="s">
        <v>107</v>
      </c>
      <c r="K147" s="6" t="s">
        <v>277</v>
      </c>
      <c r="L147" s="6" t="s">
        <v>278</v>
      </c>
      <c r="M147" s="6" t="s">
        <v>279</v>
      </c>
      <c r="N147" s="6" t="s">
        <v>385</v>
      </c>
      <c r="O147" s="6" t="s">
        <v>112</v>
      </c>
      <c r="P147" s="6" t="s">
        <v>386</v>
      </c>
      <c r="Q147" s="6" t="s">
        <v>389</v>
      </c>
      <c r="R147" t="s">
        <v>112</v>
      </c>
      <c r="S147" t="s">
        <v>390</v>
      </c>
      <c r="T147"/>
      <c r="U147"/>
      <c r="V147" t="s">
        <v>116</v>
      </c>
      <c r="W147"/>
      <c r="X147"/>
      <c r="Y147" t="s">
        <v>116</v>
      </c>
      <c r="Z147"/>
      <c r="AA147"/>
      <c r="AB147" t="s">
        <v>116</v>
      </c>
      <c r="AC147"/>
      <c r="AD147"/>
      <c r="AE147" t="s">
        <v>116</v>
      </c>
      <c r="AF147" t="s">
        <v>117</v>
      </c>
      <c r="AG147" t="s">
        <v>118</v>
      </c>
      <c r="AH147" t="s">
        <v>119</v>
      </c>
      <c r="AI147" t="s">
        <v>120</v>
      </c>
      <c r="AJ147" t="s">
        <v>121</v>
      </c>
      <c r="AK147" t="s">
        <v>122</v>
      </c>
      <c r="AL147"/>
      <c r="AM147"/>
      <c r="AN147" t="s">
        <v>116</v>
      </c>
      <c r="AO147"/>
      <c r="AP147"/>
      <c r="AQ147" t="s">
        <v>116</v>
      </c>
      <c r="AR147"/>
      <c r="AS147"/>
      <c r="AT147" t="s">
        <v>116</v>
      </c>
      <c r="AU147"/>
      <c r="AV147"/>
      <c r="AW147" t="s">
        <v>116</v>
      </c>
      <c r="AX147"/>
      <c r="AY147"/>
      <c r="AZ147" t="s">
        <v>116</v>
      </c>
      <c r="BA147"/>
      <c r="BB147"/>
      <c r="BC147" t="s">
        <v>116</v>
      </c>
      <c r="BD147"/>
      <c r="BE147"/>
      <c r="BF147" t="s">
        <v>116</v>
      </c>
      <c r="BG147"/>
      <c r="BH147"/>
      <c r="BI147" t="s">
        <v>116</v>
      </c>
      <c r="BJ147"/>
      <c r="BK147"/>
      <c r="BL147" s="8">
        <v>8000</v>
      </c>
      <c r="BM147" s="8">
        <v>0</v>
      </c>
      <c r="BN147" s="8">
        <v>0</v>
      </c>
      <c r="BO147" s="8">
        <v>0</v>
      </c>
      <c r="BP147" s="8">
        <v>8000</v>
      </c>
      <c r="BQ147" s="8">
        <v>0</v>
      </c>
      <c r="BR147" s="8">
        <v>0</v>
      </c>
      <c r="BS147" s="8">
        <v>0</v>
      </c>
      <c r="BT147" s="8">
        <v>0</v>
      </c>
      <c r="BU147" s="8">
        <v>0</v>
      </c>
      <c r="BV147" s="8">
        <v>0</v>
      </c>
      <c r="BW147" s="8">
        <v>0</v>
      </c>
      <c r="BX147" s="8">
        <v>0</v>
      </c>
      <c r="BY147" t="s">
        <v>99</v>
      </c>
      <c r="BZ147" t="s">
        <v>123</v>
      </c>
      <c r="CA147"/>
      <c r="CB147"/>
      <c r="CC147"/>
      <c r="CD147"/>
      <c r="CE147"/>
      <c r="CF147"/>
      <c r="CG147"/>
      <c r="CH147"/>
      <c r="CI147"/>
      <c r="CJ147"/>
      <c r="CK147"/>
      <c r="CL147"/>
      <c r="CM147"/>
      <c r="CN147"/>
      <c r="CO147"/>
      <c r="CP147"/>
      <c r="CQ147"/>
      <c r="CR147"/>
      <c r="CS147"/>
      <c r="CT147"/>
      <c r="CU147"/>
      <c r="CV147"/>
      <c r="CW147"/>
      <c r="CX147"/>
      <c r="CY147"/>
      <c r="CZ147"/>
      <c r="DA147"/>
      <c r="DB147"/>
      <c r="DC147"/>
      <c r="DD147"/>
    </row>
    <row r="148" spans="1:108" x14ac:dyDescent="0.25">
      <c r="A148" t="s">
        <v>99</v>
      </c>
      <c r="B148" t="s">
        <v>100</v>
      </c>
      <c r="C148" t="s">
        <v>5</v>
      </c>
      <c r="D148" t="s">
        <v>101</v>
      </c>
      <c r="E148" t="s">
        <v>102</v>
      </c>
      <c r="F148" t="s">
        <v>103</v>
      </c>
      <c r="G148" t="s">
        <v>104</v>
      </c>
      <c r="H148" t="s">
        <v>105</v>
      </c>
      <c r="I148" s="6" t="s">
        <v>106</v>
      </c>
      <c r="J148" s="6" t="s">
        <v>107</v>
      </c>
      <c r="K148" s="6" t="s">
        <v>277</v>
      </c>
      <c r="L148" s="6" t="s">
        <v>278</v>
      </c>
      <c r="M148" s="6" t="s">
        <v>279</v>
      </c>
      <c r="N148" s="6" t="s">
        <v>385</v>
      </c>
      <c r="O148" s="6" t="s">
        <v>112</v>
      </c>
      <c r="P148" s="6" t="s">
        <v>386</v>
      </c>
      <c r="Q148" s="6" t="s">
        <v>389</v>
      </c>
      <c r="R148" t="s">
        <v>112</v>
      </c>
      <c r="S148" t="s">
        <v>390</v>
      </c>
      <c r="T148"/>
      <c r="U148"/>
      <c r="V148" t="s">
        <v>116</v>
      </c>
      <c r="W148"/>
      <c r="X148"/>
      <c r="Y148" t="s">
        <v>116</v>
      </c>
      <c r="Z148"/>
      <c r="AA148"/>
      <c r="AB148" t="s">
        <v>116</v>
      </c>
      <c r="AC148"/>
      <c r="AD148"/>
      <c r="AE148" t="s">
        <v>116</v>
      </c>
      <c r="AF148" t="s">
        <v>117</v>
      </c>
      <c r="AG148" t="s">
        <v>118</v>
      </c>
      <c r="AH148" t="s">
        <v>119</v>
      </c>
      <c r="AI148" t="s">
        <v>120</v>
      </c>
      <c r="AJ148" t="s">
        <v>121</v>
      </c>
      <c r="AK148" t="s">
        <v>122</v>
      </c>
      <c r="AL148" t="s">
        <v>145</v>
      </c>
      <c r="AM148" t="s">
        <v>146</v>
      </c>
      <c r="AN148" t="s">
        <v>147</v>
      </c>
      <c r="AO148"/>
      <c r="AP148"/>
      <c r="AQ148" t="s">
        <v>116</v>
      </c>
      <c r="AR148"/>
      <c r="AS148"/>
      <c r="AT148" t="s">
        <v>116</v>
      </c>
      <c r="AU148"/>
      <c r="AV148"/>
      <c r="AW148" t="s">
        <v>116</v>
      </c>
      <c r="AX148"/>
      <c r="AY148"/>
      <c r="AZ148" t="s">
        <v>116</v>
      </c>
      <c r="BA148"/>
      <c r="BB148"/>
      <c r="BC148" t="s">
        <v>116</v>
      </c>
      <c r="BD148"/>
      <c r="BE148"/>
      <c r="BF148" t="s">
        <v>116</v>
      </c>
      <c r="BG148"/>
      <c r="BH148"/>
      <c r="BI148" t="s">
        <v>116</v>
      </c>
      <c r="BJ148"/>
      <c r="BK148"/>
      <c r="BL148" s="8">
        <v>0</v>
      </c>
      <c r="BM148" s="8">
        <v>493.68</v>
      </c>
      <c r="BN148" s="8">
        <v>493.68</v>
      </c>
      <c r="BO148" s="8">
        <v>0</v>
      </c>
      <c r="BP148" s="8">
        <v>-493.68</v>
      </c>
      <c r="BQ148" s="8">
        <v>0</v>
      </c>
      <c r="BR148" s="8">
        <v>0</v>
      </c>
      <c r="BS148" s="8">
        <v>0</v>
      </c>
      <c r="BT148" s="8">
        <v>0</v>
      </c>
      <c r="BU148" s="8">
        <v>0</v>
      </c>
      <c r="BV148" s="8">
        <v>0</v>
      </c>
      <c r="BW148" s="8">
        <v>0</v>
      </c>
      <c r="BX148" s="8">
        <v>0</v>
      </c>
      <c r="BY148" t="s">
        <v>99</v>
      </c>
      <c r="BZ148" t="s">
        <v>123</v>
      </c>
      <c r="CA148"/>
      <c r="CB148"/>
      <c r="CC148"/>
      <c r="CD148"/>
      <c r="CE148"/>
      <c r="CF148"/>
      <c r="CG148"/>
      <c r="CH148"/>
      <c r="CI148"/>
      <c r="CJ148"/>
      <c r="CK148"/>
      <c r="CL148"/>
      <c r="CM148"/>
      <c r="CN148"/>
      <c r="CO148"/>
      <c r="CP148"/>
      <c r="CQ148"/>
      <c r="CR148"/>
      <c r="CS148"/>
      <c r="CT148"/>
      <c r="CU148"/>
      <c r="CV148"/>
      <c r="CW148"/>
      <c r="CX148"/>
      <c r="CY148"/>
      <c r="CZ148"/>
      <c r="DA148"/>
      <c r="DB148"/>
      <c r="DC148"/>
      <c r="DD148"/>
    </row>
    <row r="149" spans="1:108" x14ac:dyDescent="0.25">
      <c r="A149" t="s">
        <v>99</v>
      </c>
      <c r="B149" t="s">
        <v>100</v>
      </c>
      <c r="C149" t="s">
        <v>5</v>
      </c>
      <c r="D149" t="s">
        <v>101</v>
      </c>
      <c r="E149" t="s">
        <v>102</v>
      </c>
      <c r="F149" t="s">
        <v>103</v>
      </c>
      <c r="G149" t="s">
        <v>104</v>
      </c>
      <c r="H149" t="s">
        <v>105</v>
      </c>
      <c r="I149" s="6" t="s">
        <v>106</v>
      </c>
      <c r="J149" s="6" t="s">
        <v>107</v>
      </c>
      <c r="K149" s="6" t="s">
        <v>277</v>
      </c>
      <c r="L149" s="6" t="s">
        <v>278</v>
      </c>
      <c r="M149" s="6" t="s">
        <v>279</v>
      </c>
      <c r="N149" s="6" t="s">
        <v>385</v>
      </c>
      <c r="O149" s="6" t="s">
        <v>112</v>
      </c>
      <c r="P149" s="6" t="s">
        <v>386</v>
      </c>
      <c r="Q149" s="6" t="s">
        <v>389</v>
      </c>
      <c r="R149" t="s">
        <v>112</v>
      </c>
      <c r="S149" t="s">
        <v>390</v>
      </c>
      <c r="T149"/>
      <c r="U149"/>
      <c r="V149" t="s">
        <v>116</v>
      </c>
      <c r="W149"/>
      <c r="X149"/>
      <c r="Y149" t="s">
        <v>116</v>
      </c>
      <c r="Z149"/>
      <c r="AA149"/>
      <c r="AB149" t="s">
        <v>116</v>
      </c>
      <c r="AC149"/>
      <c r="AD149"/>
      <c r="AE149" t="s">
        <v>116</v>
      </c>
      <c r="AF149" t="s">
        <v>117</v>
      </c>
      <c r="AG149" t="s">
        <v>118</v>
      </c>
      <c r="AH149" t="s">
        <v>119</v>
      </c>
      <c r="AI149" t="s">
        <v>120</v>
      </c>
      <c r="AJ149" t="s">
        <v>121</v>
      </c>
      <c r="AK149" t="s">
        <v>122</v>
      </c>
      <c r="AL149" t="s">
        <v>363</v>
      </c>
      <c r="AM149" t="s">
        <v>364</v>
      </c>
      <c r="AN149" t="s">
        <v>365</v>
      </c>
      <c r="AO149"/>
      <c r="AP149"/>
      <c r="AQ149" t="s">
        <v>116</v>
      </c>
      <c r="AR149"/>
      <c r="AS149"/>
      <c r="AT149" t="s">
        <v>116</v>
      </c>
      <c r="AU149"/>
      <c r="AV149"/>
      <c r="AW149" t="s">
        <v>116</v>
      </c>
      <c r="AX149"/>
      <c r="AY149"/>
      <c r="AZ149" t="s">
        <v>116</v>
      </c>
      <c r="BA149"/>
      <c r="BB149"/>
      <c r="BC149" t="s">
        <v>116</v>
      </c>
      <c r="BD149"/>
      <c r="BE149"/>
      <c r="BF149" t="s">
        <v>116</v>
      </c>
      <c r="BG149"/>
      <c r="BH149"/>
      <c r="BI149" t="s">
        <v>116</v>
      </c>
      <c r="BJ149"/>
      <c r="BK149"/>
      <c r="BL149" s="8">
        <v>0</v>
      </c>
      <c r="BM149" s="8">
        <v>5484.43</v>
      </c>
      <c r="BN149" s="8">
        <v>5484.43</v>
      </c>
      <c r="BO149" s="8">
        <v>0</v>
      </c>
      <c r="BP149" s="8">
        <v>-5484.43</v>
      </c>
      <c r="BQ149" s="8">
        <v>0</v>
      </c>
      <c r="BR149" s="8">
        <v>0</v>
      </c>
      <c r="BS149" s="8">
        <v>0</v>
      </c>
      <c r="BT149" s="8">
        <v>0</v>
      </c>
      <c r="BU149" s="8">
        <v>0</v>
      </c>
      <c r="BV149" s="8">
        <v>0</v>
      </c>
      <c r="BW149" s="8">
        <v>0</v>
      </c>
      <c r="BX149" s="8">
        <v>0</v>
      </c>
      <c r="BY149" t="s">
        <v>99</v>
      </c>
      <c r="BZ149" t="s">
        <v>123</v>
      </c>
      <c r="CA149"/>
      <c r="CB149"/>
      <c r="CC149"/>
      <c r="CD149"/>
      <c r="CE149"/>
      <c r="CF149"/>
      <c r="CG149"/>
      <c r="CH149"/>
      <c r="CI149"/>
      <c r="CJ149"/>
      <c r="CK149"/>
      <c r="CL149"/>
      <c r="CM149"/>
      <c r="CN149"/>
      <c r="CO149"/>
      <c r="CP149"/>
      <c r="CQ149"/>
      <c r="CR149"/>
      <c r="CS149"/>
      <c r="CT149"/>
      <c r="CU149"/>
      <c r="CV149"/>
      <c r="CW149"/>
      <c r="CX149"/>
      <c r="CY149"/>
      <c r="CZ149"/>
      <c r="DA149"/>
      <c r="DB149"/>
      <c r="DC149"/>
      <c r="DD149"/>
    </row>
    <row r="150" spans="1:108" x14ac:dyDescent="0.25">
      <c r="A150" t="s">
        <v>99</v>
      </c>
      <c r="B150" t="s">
        <v>100</v>
      </c>
      <c r="C150" t="s">
        <v>5</v>
      </c>
      <c r="D150" t="s">
        <v>101</v>
      </c>
      <c r="E150" t="s">
        <v>102</v>
      </c>
      <c r="F150" t="s">
        <v>103</v>
      </c>
      <c r="G150" t="s">
        <v>104</v>
      </c>
      <c r="H150" t="s">
        <v>105</v>
      </c>
      <c r="I150" s="6" t="s">
        <v>106</v>
      </c>
      <c r="J150" s="6" t="s">
        <v>107</v>
      </c>
      <c r="K150" s="6" t="s">
        <v>277</v>
      </c>
      <c r="L150" s="6" t="s">
        <v>278</v>
      </c>
      <c r="M150" s="6" t="s">
        <v>279</v>
      </c>
      <c r="N150" s="6" t="s">
        <v>385</v>
      </c>
      <c r="O150" s="6" t="s">
        <v>112</v>
      </c>
      <c r="P150" s="6" t="s">
        <v>386</v>
      </c>
      <c r="Q150" s="6" t="s">
        <v>391</v>
      </c>
      <c r="R150" t="s">
        <v>112</v>
      </c>
      <c r="S150" t="s">
        <v>392</v>
      </c>
      <c r="T150"/>
      <c r="U150"/>
      <c r="V150" t="s">
        <v>116</v>
      </c>
      <c r="W150"/>
      <c r="X150"/>
      <c r="Y150" t="s">
        <v>116</v>
      </c>
      <c r="Z150"/>
      <c r="AA150"/>
      <c r="AB150" t="s">
        <v>116</v>
      </c>
      <c r="AC150"/>
      <c r="AD150"/>
      <c r="AE150" t="s">
        <v>116</v>
      </c>
      <c r="AF150" t="s">
        <v>117</v>
      </c>
      <c r="AG150" t="s">
        <v>118</v>
      </c>
      <c r="AH150" t="s">
        <v>119</v>
      </c>
      <c r="AI150" t="s">
        <v>120</v>
      </c>
      <c r="AJ150" t="s">
        <v>121</v>
      </c>
      <c r="AK150" t="s">
        <v>122</v>
      </c>
      <c r="AL150"/>
      <c r="AM150"/>
      <c r="AN150" t="s">
        <v>116</v>
      </c>
      <c r="AO150"/>
      <c r="AP150"/>
      <c r="AQ150" t="s">
        <v>116</v>
      </c>
      <c r="AR150"/>
      <c r="AS150"/>
      <c r="AT150" t="s">
        <v>116</v>
      </c>
      <c r="AU150"/>
      <c r="AV150"/>
      <c r="AW150" t="s">
        <v>116</v>
      </c>
      <c r="AX150"/>
      <c r="AY150"/>
      <c r="AZ150" t="s">
        <v>116</v>
      </c>
      <c r="BA150"/>
      <c r="BB150"/>
      <c r="BC150" t="s">
        <v>116</v>
      </c>
      <c r="BD150"/>
      <c r="BE150"/>
      <c r="BF150" t="s">
        <v>116</v>
      </c>
      <c r="BG150"/>
      <c r="BH150"/>
      <c r="BI150" t="s">
        <v>116</v>
      </c>
      <c r="BJ150"/>
      <c r="BK150"/>
      <c r="BL150" s="8">
        <v>13417</v>
      </c>
      <c r="BM150" s="8">
        <v>0</v>
      </c>
      <c r="BN150" s="8">
        <v>0</v>
      </c>
      <c r="BO150" s="8">
        <v>0</v>
      </c>
      <c r="BP150" s="8">
        <v>13417</v>
      </c>
      <c r="BQ150" s="8">
        <v>0</v>
      </c>
      <c r="BR150" s="8">
        <v>0</v>
      </c>
      <c r="BS150" s="8">
        <v>0</v>
      </c>
      <c r="BT150" s="8">
        <v>0</v>
      </c>
      <c r="BU150" s="8">
        <v>0</v>
      </c>
      <c r="BV150" s="8">
        <v>0</v>
      </c>
      <c r="BW150" s="8">
        <v>0</v>
      </c>
      <c r="BX150" s="8">
        <v>0</v>
      </c>
      <c r="BY150" t="s">
        <v>99</v>
      </c>
      <c r="BZ150" t="s">
        <v>123</v>
      </c>
      <c r="CA150"/>
      <c r="CB150"/>
      <c r="CC150"/>
      <c r="CD150"/>
      <c r="CE150"/>
      <c r="CF150"/>
      <c r="CG150"/>
      <c r="CH150"/>
      <c r="CI150"/>
      <c r="CJ150"/>
      <c r="CK150"/>
      <c r="CL150"/>
      <c r="CM150"/>
      <c r="CN150"/>
      <c r="CO150"/>
      <c r="CP150"/>
      <c r="CQ150"/>
      <c r="CR150"/>
      <c r="CS150"/>
      <c r="CT150"/>
      <c r="CU150"/>
      <c r="CV150"/>
      <c r="CW150"/>
      <c r="CX150"/>
      <c r="CY150"/>
      <c r="CZ150"/>
      <c r="DA150"/>
      <c r="DB150"/>
      <c r="DC150"/>
      <c r="DD150"/>
    </row>
    <row r="151" spans="1:108" x14ac:dyDescent="0.25">
      <c r="A151" t="s">
        <v>99</v>
      </c>
      <c r="B151" t="s">
        <v>100</v>
      </c>
      <c r="C151" t="s">
        <v>5</v>
      </c>
      <c r="D151" t="s">
        <v>101</v>
      </c>
      <c r="E151" t="s">
        <v>102</v>
      </c>
      <c r="F151" t="s">
        <v>103</v>
      </c>
      <c r="G151" t="s">
        <v>104</v>
      </c>
      <c r="H151" t="s">
        <v>105</v>
      </c>
      <c r="I151" s="6" t="s">
        <v>106</v>
      </c>
      <c r="J151" s="6" t="s">
        <v>107</v>
      </c>
      <c r="K151" s="6" t="s">
        <v>277</v>
      </c>
      <c r="L151" s="6" t="s">
        <v>278</v>
      </c>
      <c r="M151" s="6" t="s">
        <v>279</v>
      </c>
      <c r="N151" s="6" t="s">
        <v>385</v>
      </c>
      <c r="O151" s="6" t="s">
        <v>112</v>
      </c>
      <c r="P151" s="6" t="s">
        <v>386</v>
      </c>
      <c r="Q151" s="6" t="s">
        <v>391</v>
      </c>
      <c r="R151" t="s">
        <v>112</v>
      </c>
      <c r="S151" t="s">
        <v>392</v>
      </c>
      <c r="T151"/>
      <c r="U151"/>
      <c r="V151" t="s">
        <v>116</v>
      </c>
      <c r="W151"/>
      <c r="X151"/>
      <c r="Y151" t="s">
        <v>116</v>
      </c>
      <c r="Z151"/>
      <c r="AA151"/>
      <c r="AB151" t="s">
        <v>116</v>
      </c>
      <c r="AC151"/>
      <c r="AD151"/>
      <c r="AE151" t="s">
        <v>116</v>
      </c>
      <c r="AF151" t="s">
        <v>117</v>
      </c>
      <c r="AG151" t="s">
        <v>118</v>
      </c>
      <c r="AH151" t="s">
        <v>119</v>
      </c>
      <c r="AI151" t="s">
        <v>120</v>
      </c>
      <c r="AJ151" t="s">
        <v>121</v>
      </c>
      <c r="AK151" t="s">
        <v>122</v>
      </c>
      <c r="AL151" t="s">
        <v>370</v>
      </c>
      <c r="AM151" t="s">
        <v>371</v>
      </c>
      <c r="AN151" t="s">
        <v>372</v>
      </c>
      <c r="AO151"/>
      <c r="AP151"/>
      <c r="AQ151" t="s">
        <v>116</v>
      </c>
      <c r="AR151"/>
      <c r="AS151"/>
      <c r="AT151" t="s">
        <v>116</v>
      </c>
      <c r="AU151"/>
      <c r="AV151"/>
      <c r="AW151" t="s">
        <v>116</v>
      </c>
      <c r="AX151"/>
      <c r="AY151"/>
      <c r="AZ151" t="s">
        <v>116</v>
      </c>
      <c r="BA151"/>
      <c r="BB151"/>
      <c r="BC151" t="s">
        <v>116</v>
      </c>
      <c r="BD151"/>
      <c r="BE151"/>
      <c r="BF151" t="s">
        <v>116</v>
      </c>
      <c r="BG151"/>
      <c r="BH151"/>
      <c r="BI151" t="s">
        <v>116</v>
      </c>
      <c r="BJ151"/>
      <c r="BK151"/>
      <c r="BL151" s="8">
        <v>0</v>
      </c>
      <c r="BM151" s="8">
        <v>12924.2</v>
      </c>
      <c r="BN151" s="8">
        <v>12924.2</v>
      </c>
      <c r="BO151" s="8">
        <v>0</v>
      </c>
      <c r="BP151" s="8">
        <v>-12924.2</v>
      </c>
      <c r="BQ151" s="8">
        <v>0</v>
      </c>
      <c r="BR151" s="8">
        <v>0</v>
      </c>
      <c r="BS151" s="8">
        <v>0</v>
      </c>
      <c r="BT151" s="8">
        <v>0</v>
      </c>
      <c r="BU151" s="8">
        <v>0</v>
      </c>
      <c r="BV151" s="8">
        <v>0</v>
      </c>
      <c r="BW151" s="8">
        <v>0</v>
      </c>
      <c r="BX151" s="8">
        <v>0</v>
      </c>
      <c r="BY151" t="s">
        <v>99</v>
      </c>
      <c r="BZ151" t="s">
        <v>123</v>
      </c>
      <c r="CA151"/>
      <c r="CB151"/>
      <c r="CC151"/>
      <c r="CD151"/>
      <c r="CE151"/>
      <c r="CF151"/>
      <c r="CG151"/>
      <c r="CH151"/>
      <c r="CI151"/>
      <c r="CJ151"/>
      <c r="CK151"/>
      <c r="CL151"/>
      <c r="CM151"/>
      <c r="CN151"/>
      <c r="CO151"/>
      <c r="CP151"/>
      <c r="CQ151"/>
      <c r="CR151"/>
      <c r="CS151"/>
      <c r="CT151"/>
      <c r="CU151"/>
      <c r="CV151"/>
      <c r="CW151"/>
      <c r="CX151"/>
      <c r="CY151"/>
      <c r="CZ151"/>
      <c r="DA151"/>
      <c r="DB151"/>
      <c r="DC151"/>
      <c r="DD151"/>
    </row>
    <row r="152" spans="1:108" x14ac:dyDescent="0.25">
      <c r="A152" t="s">
        <v>99</v>
      </c>
      <c r="B152" t="s">
        <v>100</v>
      </c>
      <c r="C152" t="s">
        <v>5</v>
      </c>
      <c r="D152" t="s">
        <v>101</v>
      </c>
      <c r="E152" t="s">
        <v>102</v>
      </c>
      <c r="F152" t="s">
        <v>103</v>
      </c>
      <c r="G152" t="s">
        <v>104</v>
      </c>
      <c r="H152" t="s">
        <v>105</v>
      </c>
      <c r="I152" s="6" t="s">
        <v>106</v>
      </c>
      <c r="J152" s="6" t="s">
        <v>107</v>
      </c>
      <c r="K152" s="6" t="s">
        <v>277</v>
      </c>
      <c r="L152" s="6" t="s">
        <v>278</v>
      </c>
      <c r="M152" s="6" t="s">
        <v>279</v>
      </c>
      <c r="N152" s="6" t="s">
        <v>385</v>
      </c>
      <c r="O152" s="6" t="s">
        <v>112</v>
      </c>
      <c r="P152" s="6" t="s">
        <v>386</v>
      </c>
      <c r="Q152" s="6" t="s">
        <v>391</v>
      </c>
      <c r="R152" t="s">
        <v>112</v>
      </c>
      <c r="S152" t="s">
        <v>392</v>
      </c>
      <c r="T152"/>
      <c r="U152"/>
      <c r="V152" t="s">
        <v>116</v>
      </c>
      <c r="W152"/>
      <c r="X152"/>
      <c r="Y152" t="s">
        <v>116</v>
      </c>
      <c r="Z152"/>
      <c r="AA152"/>
      <c r="AB152" t="s">
        <v>116</v>
      </c>
      <c r="AC152"/>
      <c r="AD152"/>
      <c r="AE152" t="s">
        <v>116</v>
      </c>
      <c r="AF152" t="s">
        <v>117</v>
      </c>
      <c r="AG152" t="s">
        <v>118</v>
      </c>
      <c r="AH152" t="s">
        <v>119</v>
      </c>
      <c r="AI152" t="s">
        <v>120</v>
      </c>
      <c r="AJ152" t="s">
        <v>121</v>
      </c>
      <c r="AK152" t="s">
        <v>122</v>
      </c>
      <c r="AL152" t="s">
        <v>221</v>
      </c>
      <c r="AM152" t="s">
        <v>222</v>
      </c>
      <c r="AN152" t="s">
        <v>223</v>
      </c>
      <c r="AO152"/>
      <c r="AP152"/>
      <c r="AQ152" t="s">
        <v>116</v>
      </c>
      <c r="AR152"/>
      <c r="AS152"/>
      <c r="AT152" t="s">
        <v>116</v>
      </c>
      <c r="AU152"/>
      <c r="AV152"/>
      <c r="AW152" t="s">
        <v>116</v>
      </c>
      <c r="AX152"/>
      <c r="AY152"/>
      <c r="AZ152" t="s">
        <v>116</v>
      </c>
      <c r="BA152"/>
      <c r="BB152"/>
      <c r="BC152" t="s">
        <v>116</v>
      </c>
      <c r="BD152"/>
      <c r="BE152"/>
      <c r="BF152" t="s">
        <v>116</v>
      </c>
      <c r="BG152"/>
      <c r="BH152"/>
      <c r="BI152" t="s">
        <v>116</v>
      </c>
      <c r="BJ152"/>
      <c r="BK152"/>
      <c r="BL152" s="8">
        <v>0</v>
      </c>
      <c r="BM152" s="8">
        <v>491.51</v>
      </c>
      <c r="BN152" s="8">
        <v>491.51</v>
      </c>
      <c r="BO152" s="8">
        <v>0</v>
      </c>
      <c r="BP152" s="8">
        <v>-491.51</v>
      </c>
      <c r="BQ152" s="8">
        <v>0</v>
      </c>
      <c r="BR152" s="8">
        <v>0</v>
      </c>
      <c r="BS152" s="8">
        <v>0</v>
      </c>
      <c r="BT152" s="8">
        <v>0</v>
      </c>
      <c r="BU152" s="8">
        <v>0</v>
      </c>
      <c r="BV152" s="8">
        <v>0</v>
      </c>
      <c r="BW152" s="8">
        <v>0</v>
      </c>
      <c r="BX152" s="8">
        <v>0</v>
      </c>
      <c r="BY152" t="s">
        <v>99</v>
      </c>
      <c r="BZ152" t="s">
        <v>123</v>
      </c>
      <c r="CA152"/>
      <c r="CB152"/>
      <c r="CC152"/>
      <c r="CD152"/>
      <c r="CE152"/>
      <c r="CF152"/>
      <c r="CG152"/>
      <c r="CH152"/>
      <c r="CI152"/>
      <c r="CJ152"/>
      <c r="CK152"/>
      <c r="CL152"/>
      <c r="CM152"/>
      <c r="CN152"/>
      <c r="CO152"/>
      <c r="CP152"/>
      <c r="CQ152"/>
      <c r="CR152"/>
      <c r="CS152"/>
      <c r="CT152"/>
      <c r="CU152"/>
      <c r="CV152"/>
      <c r="CW152"/>
      <c r="CX152"/>
      <c r="CY152"/>
      <c r="CZ152"/>
      <c r="DA152"/>
      <c r="DB152"/>
      <c r="DC152"/>
      <c r="DD152"/>
    </row>
    <row r="153" spans="1:108" x14ac:dyDescent="0.25">
      <c r="A153" t="s">
        <v>99</v>
      </c>
      <c r="B153" t="s">
        <v>100</v>
      </c>
      <c r="C153" t="s">
        <v>5</v>
      </c>
      <c r="D153" t="s">
        <v>101</v>
      </c>
      <c r="E153" t="s">
        <v>102</v>
      </c>
      <c r="F153" t="s">
        <v>103</v>
      </c>
      <c r="G153" t="s">
        <v>104</v>
      </c>
      <c r="H153" t="s">
        <v>105</v>
      </c>
      <c r="I153" s="6" t="s">
        <v>106</v>
      </c>
      <c r="J153" s="6" t="s">
        <v>107</v>
      </c>
      <c r="K153" s="6" t="s">
        <v>277</v>
      </c>
      <c r="L153" s="6" t="s">
        <v>278</v>
      </c>
      <c r="M153" s="6" t="s">
        <v>279</v>
      </c>
      <c r="N153" s="6" t="s">
        <v>385</v>
      </c>
      <c r="O153" s="6" t="s">
        <v>112</v>
      </c>
      <c r="P153" s="6" t="s">
        <v>386</v>
      </c>
      <c r="Q153" s="6" t="s">
        <v>393</v>
      </c>
      <c r="R153" t="s">
        <v>112</v>
      </c>
      <c r="S153" t="s">
        <v>394</v>
      </c>
      <c r="T153"/>
      <c r="U153"/>
      <c r="V153" t="s">
        <v>116</v>
      </c>
      <c r="W153"/>
      <c r="X153"/>
      <c r="Y153" t="s">
        <v>116</v>
      </c>
      <c r="Z153"/>
      <c r="AA153"/>
      <c r="AB153" t="s">
        <v>116</v>
      </c>
      <c r="AC153"/>
      <c r="AD153"/>
      <c r="AE153" t="s">
        <v>116</v>
      </c>
      <c r="AF153" t="s">
        <v>117</v>
      </c>
      <c r="AG153" t="s">
        <v>118</v>
      </c>
      <c r="AH153" t="s">
        <v>119</v>
      </c>
      <c r="AI153" t="s">
        <v>120</v>
      </c>
      <c r="AJ153" t="s">
        <v>121</v>
      </c>
      <c r="AK153" t="s">
        <v>122</v>
      </c>
      <c r="AL153"/>
      <c r="AM153"/>
      <c r="AN153" t="s">
        <v>116</v>
      </c>
      <c r="AO153"/>
      <c r="AP153"/>
      <c r="AQ153" t="s">
        <v>116</v>
      </c>
      <c r="AR153"/>
      <c r="AS153"/>
      <c r="AT153" t="s">
        <v>116</v>
      </c>
      <c r="AU153"/>
      <c r="AV153"/>
      <c r="AW153" t="s">
        <v>116</v>
      </c>
      <c r="AX153"/>
      <c r="AY153"/>
      <c r="AZ153" t="s">
        <v>116</v>
      </c>
      <c r="BA153"/>
      <c r="BB153"/>
      <c r="BC153" t="s">
        <v>116</v>
      </c>
      <c r="BD153"/>
      <c r="BE153"/>
      <c r="BF153" t="s">
        <v>116</v>
      </c>
      <c r="BG153"/>
      <c r="BH153"/>
      <c r="BI153" t="s">
        <v>116</v>
      </c>
      <c r="BJ153"/>
      <c r="BK153"/>
      <c r="BL153" s="8">
        <v>5000</v>
      </c>
      <c r="BM153" s="8">
        <v>0</v>
      </c>
      <c r="BN153" s="8">
        <v>0</v>
      </c>
      <c r="BO153" s="8">
        <v>0</v>
      </c>
      <c r="BP153" s="8">
        <v>5000</v>
      </c>
      <c r="BQ153" s="8">
        <v>0</v>
      </c>
      <c r="BR153" s="8">
        <v>0</v>
      </c>
      <c r="BS153" s="8">
        <v>0</v>
      </c>
      <c r="BT153" s="8">
        <v>0</v>
      </c>
      <c r="BU153" s="8">
        <v>0</v>
      </c>
      <c r="BV153" s="8">
        <v>0</v>
      </c>
      <c r="BW153" s="8">
        <v>0</v>
      </c>
      <c r="BX153" s="8">
        <v>0</v>
      </c>
      <c r="BY153" t="s">
        <v>99</v>
      </c>
      <c r="BZ153" t="s">
        <v>123</v>
      </c>
      <c r="CA153"/>
      <c r="CB153"/>
      <c r="CC153"/>
      <c r="CD153"/>
      <c r="CE153"/>
      <c r="CF153"/>
      <c r="CG153"/>
      <c r="CH153"/>
      <c r="CI153"/>
      <c r="CJ153"/>
      <c r="CK153"/>
      <c r="CL153"/>
      <c r="CM153"/>
      <c r="CN153"/>
      <c r="CO153"/>
      <c r="CP153"/>
      <c r="CQ153"/>
      <c r="CR153"/>
      <c r="CS153"/>
      <c r="CT153"/>
      <c r="CU153"/>
      <c r="CV153"/>
      <c r="CW153"/>
      <c r="CX153"/>
      <c r="CY153"/>
      <c r="CZ153"/>
      <c r="DA153"/>
      <c r="DB153"/>
      <c r="DC153"/>
      <c r="DD153"/>
    </row>
    <row r="154" spans="1:108" x14ac:dyDescent="0.25">
      <c r="A154" t="s">
        <v>99</v>
      </c>
      <c r="B154" t="s">
        <v>100</v>
      </c>
      <c r="C154" t="s">
        <v>5</v>
      </c>
      <c r="D154" t="s">
        <v>101</v>
      </c>
      <c r="E154" t="s">
        <v>102</v>
      </c>
      <c r="F154" t="s">
        <v>103</v>
      </c>
      <c r="G154" t="s">
        <v>104</v>
      </c>
      <c r="H154" t="s">
        <v>105</v>
      </c>
      <c r="I154" s="6" t="s">
        <v>106</v>
      </c>
      <c r="J154" s="6" t="s">
        <v>107</v>
      </c>
      <c r="K154" s="6" t="s">
        <v>277</v>
      </c>
      <c r="L154" s="6" t="s">
        <v>278</v>
      </c>
      <c r="M154" s="6" t="s">
        <v>279</v>
      </c>
      <c r="N154" s="6" t="s">
        <v>385</v>
      </c>
      <c r="O154" s="6" t="s">
        <v>112</v>
      </c>
      <c r="P154" s="6" t="s">
        <v>386</v>
      </c>
      <c r="Q154" s="6" t="s">
        <v>393</v>
      </c>
      <c r="R154" t="s">
        <v>112</v>
      </c>
      <c r="S154" t="s">
        <v>394</v>
      </c>
      <c r="T154"/>
      <c r="U154"/>
      <c r="V154" t="s">
        <v>116</v>
      </c>
      <c r="W154"/>
      <c r="X154"/>
      <c r="Y154" t="s">
        <v>116</v>
      </c>
      <c r="Z154"/>
      <c r="AA154"/>
      <c r="AB154" t="s">
        <v>116</v>
      </c>
      <c r="AC154"/>
      <c r="AD154"/>
      <c r="AE154" t="s">
        <v>116</v>
      </c>
      <c r="AF154" t="s">
        <v>117</v>
      </c>
      <c r="AG154" t="s">
        <v>118</v>
      </c>
      <c r="AH154" t="s">
        <v>119</v>
      </c>
      <c r="AI154" t="s">
        <v>120</v>
      </c>
      <c r="AJ154" t="s">
        <v>121</v>
      </c>
      <c r="AK154" t="s">
        <v>122</v>
      </c>
      <c r="AL154" t="s">
        <v>145</v>
      </c>
      <c r="AM154" t="s">
        <v>146</v>
      </c>
      <c r="AN154" t="s">
        <v>147</v>
      </c>
      <c r="AO154"/>
      <c r="AP154"/>
      <c r="AQ154" t="s">
        <v>116</v>
      </c>
      <c r="AR154"/>
      <c r="AS154"/>
      <c r="AT154" t="s">
        <v>116</v>
      </c>
      <c r="AU154"/>
      <c r="AV154"/>
      <c r="AW154" t="s">
        <v>116</v>
      </c>
      <c r="AX154"/>
      <c r="AY154"/>
      <c r="AZ154" t="s">
        <v>116</v>
      </c>
      <c r="BA154"/>
      <c r="BB154"/>
      <c r="BC154" t="s">
        <v>116</v>
      </c>
      <c r="BD154"/>
      <c r="BE154"/>
      <c r="BF154" t="s">
        <v>116</v>
      </c>
      <c r="BG154"/>
      <c r="BH154"/>
      <c r="BI154" t="s">
        <v>116</v>
      </c>
      <c r="BJ154"/>
      <c r="BK154"/>
      <c r="BL154" s="8">
        <v>0</v>
      </c>
      <c r="BM154" s="8">
        <v>3172.98</v>
      </c>
      <c r="BN154" s="8">
        <v>3172.98</v>
      </c>
      <c r="BO154" s="8">
        <v>0</v>
      </c>
      <c r="BP154" s="8">
        <v>-3172.98</v>
      </c>
      <c r="BQ154" s="8">
        <v>0</v>
      </c>
      <c r="BR154" s="8">
        <v>0</v>
      </c>
      <c r="BS154" s="8">
        <v>0</v>
      </c>
      <c r="BT154" s="8">
        <v>0</v>
      </c>
      <c r="BU154" s="8">
        <v>0</v>
      </c>
      <c r="BV154" s="8">
        <v>0</v>
      </c>
      <c r="BW154" s="8">
        <v>0</v>
      </c>
      <c r="BX154" s="8">
        <v>0</v>
      </c>
      <c r="BY154" t="s">
        <v>99</v>
      </c>
      <c r="BZ154" t="s">
        <v>123</v>
      </c>
      <c r="CA154"/>
      <c r="CB154"/>
      <c r="CC154"/>
      <c r="CD154"/>
      <c r="CE154"/>
      <c r="CF154"/>
      <c r="CG154"/>
      <c r="CH154"/>
      <c r="CI154"/>
      <c r="CJ154"/>
      <c r="CK154"/>
      <c r="CL154"/>
      <c r="CM154"/>
      <c r="CN154"/>
      <c r="CO154"/>
      <c r="CP154"/>
      <c r="CQ154"/>
      <c r="CR154"/>
      <c r="CS154"/>
      <c r="CT154"/>
      <c r="CU154"/>
      <c r="CV154"/>
      <c r="CW154"/>
      <c r="CX154"/>
      <c r="CY154"/>
      <c r="CZ154"/>
      <c r="DA154"/>
      <c r="DB154"/>
      <c r="DC154"/>
      <c r="DD154"/>
    </row>
    <row r="155" spans="1:108" x14ac:dyDescent="0.25">
      <c r="A155" t="s">
        <v>99</v>
      </c>
      <c r="B155" t="s">
        <v>100</v>
      </c>
      <c r="C155" t="s">
        <v>5</v>
      </c>
      <c r="D155" t="s">
        <v>101</v>
      </c>
      <c r="E155" t="s">
        <v>102</v>
      </c>
      <c r="F155" t="s">
        <v>103</v>
      </c>
      <c r="G155" t="s">
        <v>104</v>
      </c>
      <c r="H155" t="s">
        <v>105</v>
      </c>
      <c r="I155" s="6" t="s">
        <v>106</v>
      </c>
      <c r="J155" s="6" t="s">
        <v>107</v>
      </c>
      <c r="K155" s="6" t="s">
        <v>277</v>
      </c>
      <c r="L155" s="6" t="s">
        <v>278</v>
      </c>
      <c r="M155" s="6" t="s">
        <v>279</v>
      </c>
      <c r="N155" s="6" t="s">
        <v>395</v>
      </c>
      <c r="O155" s="6" t="s">
        <v>112</v>
      </c>
      <c r="P155" s="6" t="s">
        <v>396</v>
      </c>
      <c r="Q155" s="6" t="s">
        <v>397</v>
      </c>
      <c r="R155" t="s">
        <v>112</v>
      </c>
      <c r="S155" t="s">
        <v>398</v>
      </c>
      <c r="T155"/>
      <c r="U155"/>
      <c r="V155" t="s">
        <v>116</v>
      </c>
      <c r="W155"/>
      <c r="X155"/>
      <c r="Y155" t="s">
        <v>116</v>
      </c>
      <c r="Z155"/>
      <c r="AA155"/>
      <c r="AB155" t="s">
        <v>116</v>
      </c>
      <c r="AC155"/>
      <c r="AD155"/>
      <c r="AE155" t="s">
        <v>116</v>
      </c>
      <c r="AF155" t="s">
        <v>117</v>
      </c>
      <c r="AG155" t="s">
        <v>118</v>
      </c>
      <c r="AH155" t="s">
        <v>119</v>
      </c>
      <c r="AI155" t="s">
        <v>120</v>
      </c>
      <c r="AJ155" t="s">
        <v>121</v>
      </c>
      <c r="AK155" t="s">
        <v>122</v>
      </c>
      <c r="AL155"/>
      <c r="AM155"/>
      <c r="AN155" t="s">
        <v>116</v>
      </c>
      <c r="AO155"/>
      <c r="AP155"/>
      <c r="AQ155" t="s">
        <v>116</v>
      </c>
      <c r="AR155"/>
      <c r="AS155"/>
      <c r="AT155" t="s">
        <v>116</v>
      </c>
      <c r="AU155"/>
      <c r="AV155"/>
      <c r="AW155" t="s">
        <v>116</v>
      </c>
      <c r="AX155"/>
      <c r="AY155"/>
      <c r="AZ155" t="s">
        <v>116</v>
      </c>
      <c r="BA155"/>
      <c r="BB155"/>
      <c r="BC155" t="s">
        <v>116</v>
      </c>
      <c r="BD155"/>
      <c r="BE155"/>
      <c r="BF155" t="s">
        <v>116</v>
      </c>
      <c r="BG155"/>
      <c r="BH155"/>
      <c r="BI155" t="s">
        <v>116</v>
      </c>
      <c r="BJ155"/>
      <c r="BK155"/>
      <c r="BL155" s="8">
        <v>15000</v>
      </c>
      <c r="BM155" s="8">
        <v>0</v>
      </c>
      <c r="BN155" s="8">
        <v>0</v>
      </c>
      <c r="BO155" s="8">
        <v>0</v>
      </c>
      <c r="BP155" s="8">
        <v>15000</v>
      </c>
      <c r="BQ155" s="8">
        <v>0</v>
      </c>
      <c r="BR155" s="8">
        <v>0</v>
      </c>
      <c r="BS155" s="8">
        <v>0</v>
      </c>
      <c r="BT155" s="8">
        <v>0</v>
      </c>
      <c r="BU155" s="8">
        <v>0</v>
      </c>
      <c r="BV155" s="8">
        <v>0</v>
      </c>
      <c r="BW155" s="8">
        <v>0</v>
      </c>
      <c r="BX155" s="8">
        <v>0</v>
      </c>
      <c r="BY155" t="s">
        <v>99</v>
      </c>
      <c r="BZ155" t="s">
        <v>123</v>
      </c>
      <c r="CA155"/>
      <c r="CB155"/>
      <c r="CC155"/>
      <c r="CD155"/>
      <c r="CE155"/>
      <c r="CF155"/>
      <c r="CG155"/>
      <c r="CH155"/>
      <c r="CI155"/>
      <c r="CJ155"/>
      <c r="CK155"/>
      <c r="CL155"/>
      <c r="CM155"/>
      <c r="CN155"/>
      <c r="CO155"/>
      <c r="CP155"/>
      <c r="CQ155"/>
      <c r="CR155"/>
      <c r="CS155"/>
      <c r="CT155"/>
      <c r="CU155"/>
      <c r="CV155"/>
      <c r="CW155"/>
      <c r="CX155"/>
      <c r="CY155"/>
      <c r="CZ155"/>
      <c r="DA155"/>
      <c r="DB155"/>
      <c r="DC155"/>
      <c r="DD155"/>
    </row>
    <row r="156" spans="1:108" x14ac:dyDescent="0.25">
      <c r="A156" t="s">
        <v>99</v>
      </c>
      <c r="B156" t="s">
        <v>100</v>
      </c>
      <c r="C156" t="s">
        <v>5</v>
      </c>
      <c r="D156" t="s">
        <v>101</v>
      </c>
      <c r="E156" t="s">
        <v>102</v>
      </c>
      <c r="F156" t="s">
        <v>103</v>
      </c>
      <c r="G156" t="s">
        <v>104</v>
      </c>
      <c r="H156" t="s">
        <v>105</v>
      </c>
      <c r="I156" s="6" t="s">
        <v>106</v>
      </c>
      <c r="J156" s="6" t="s">
        <v>107</v>
      </c>
      <c r="K156" s="6" t="s">
        <v>277</v>
      </c>
      <c r="L156" s="6" t="s">
        <v>278</v>
      </c>
      <c r="M156" s="6" t="s">
        <v>279</v>
      </c>
      <c r="N156" s="6" t="s">
        <v>395</v>
      </c>
      <c r="O156" s="6" t="s">
        <v>112</v>
      </c>
      <c r="P156" s="6" t="s">
        <v>396</v>
      </c>
      <c r="Q156" s="6" t="s">
        <v>397</v>
      </c>
      <c r="R156" t="s">
        <v>112</v>
      </c>
      <c r="S156" t="s">
        <v>398</v>
      </c>
      <c r="T156"/>
      <c r="U156"/>
      <c r="V156" t="s">
        <v>116</v>
      </c>
      <c r="W156"/>
      <c r="X156"/>
      <c r="Y156" t="s">
        <v>116</v>
      </c>
      <c r="Z156"/>
      <c r="AA156"/>
      <c r="AB156" t="s">
        <v>116</v>
      </c>
      <c r="AC156"/>
      <c r="AD156"/>
      <c r="AE156" t="s">
        <v>116</v>
      </c>
      <c r="AF156" t="s">
        <v>117</v>
      </c>
      <c r="AG156" t="s">
        <v>118</v>
      </c>
      <c r="AH156" t="s">
        <v>119</v>
      </c>
      <c r="AI156" t="s">
        <v>120</v>
      </c>
      <c r="AJ156" t="s">
        <v>121</v>
      </c>
      <c r="AK156" t="s">
        <v>122</v>
      </c>
      <c r="AL156" t="s">
        <v>399</v>
      </c>
      <c r="AM156" t="s">
        <v>400</v>
      </c>
      <c r="AN156" t="s">
        <v>401</v>
      </c>
      <c r="AO156"/>
      <c r="AP156"/>
      <c r="AQ156" t="s">
        <v>116</v>
      </c>
      <c r="AR156"/>
      <c r="AS156"/>
      <c r="AT156" t="s">
        <v>116</v>
      </c>
      <c r="AU156"/>
      <c r="AV156"/>
      <c r="AW156" t="s">
        <v>116</v>
      </c>
      <c r="AX156"/>
      <c r="AY156"/>
      <c r="AZ156" t="s">
        <v>116</v>
      </c>
      <c r="BA156"/>
      <c r="BB156"/>
      <c r="BC156" t="s">
        <v>116</v>
      </c>
      <c r="BD156"/>
      <c r="BE156"/>
      <c r="BF156" t="s">
        <v>116</v>
      </c>
      <c r="BG156"/>
      <c r="BH156"/>
      <c r="BI156" t="s">
        <v>116</v>
      </c>
      <c r="BJ156"/>
      <c r="BK156"/>
      <c r="BL156" s="8">
        <v>0</v>
      </c>
      <c r="BM156" s="8">
        <v>13987.31</v>
      </c>
      <c r="BN156" s="8">
        <v>13987.31</v>
      </c>
      <c r="BO156" s="8">
        <v>0</v>
      </c>
      <c r="BP156" s="8">
        <v>-13987.31</v>
      </c>
      <c r="BQ156" s="8">
        <v>0</v>
      </c>
      <c r="BR156" s="8">
        <v>0</v>
      </c>
      <c r="BS156" s="8">
        <v>0</v>
      </c>
      <c r="BT156" s="8">
        <v>0</v>
      </c>
      <c r="BU156" s="8">
        <v>0</v>
      </c>
      <c r="BV156" s="8">
        <v>0</v>
      </c>
      <c r="BW156" s="8">
        <v>0</v>
      </c>
      <c r="BX156" s="8">
        <v>0</v>
      </c>
      <c r="BY156" t="s">
        <v>99</v>
      </c>
      <c r="BZ156" t="s">
        <v>123</v>
      </c>
      <c r="CA156"/>
      <c r="CB156"/>
      <c r="CC156"/>
      <c r="CD156"/>
      <c r="CE156"/>
      <c r="CF156"/>
      <c r="CG156"/>
      <c r="CH156"/>
      <c r="CI156"/>
      <c r="CJ156"/>
      <c r="CK156"/>
      <c r="CL156"/>
      <c r="CM156"/>
      <c r="CN156"/>
      <c r="CO156"/>
      <c r="CP156"/>
      <c r="CQ156"/>
      <c r="CR156"/>
      <c r="CS156"/>
      <c r="CT156"/>
      <c r="CU156"/>
      <c r="CV156"/>
      <c r="CW156"/>
      <c r="CX156"/>
      <c r="CY156"/>
      <c r="CZ156"/>
      <c r="DA156"/>
      <c r="DB156"/>
      <c r="DC156"/>
      <c r="DD156"/>
    </row>
    <row r="157" spans="1:108" x14ac:dyDescent="0.25">
      <c r="A157" t="s">
        <v>99</v>
      </c>
      <c r="B157" t="s">
        <v>100</v>
      </c>
      <c r="C157" t="s">
        <v>5</v>
      </c>
      <c r="D157" t="s">
        <v>101</v>
      </c>
      <c r="E157" t="s">
        <v>102</v>
      </c>
      <c r="F157" t="s">
        <v>103</v>
      </c>
      <c r="G157" t="s">
        <v>104</v>
      </c>
      <c r="H157" t="s">
        <v>105</v>
      </c>
      <c r="I157" s="6" t="s">
        <v>106</v>
      </c>
      <c r="J157" s="6" t="s">
        <v>107</v>
      </c>
      <c r="K157" s="6" t="s">
        <v>277</v>
      </c>
      <c r="L157" s="6" t="s">
        <v>278</v>
      </c>
      <c r="M157" s="6" t="s">
        <v>279</v>
      </c>
      <c r="N157" s="6" t="s">
        <v>395</v>
      </c>
      <c r="O157" s="6" t="s">
        <v>112</v>
      </c>
      <c r="P157" s="6" t="s">
        <v>396</v>
      </c>
      <c r="Q157" s="6" t="s">
        <v>402</v>
      </c>
      <c r="R157" t="s">
        <v>112</v>
      </c>
      <c r="S157" t="s">
        <v>403</v>
      </c>
      <c r="T157"/>
      <c r="U157"/>
      <c r="V157" t="s">
        <v>116</v>
      </c>
      <c r="W157"/>
      <c r="X157"/>
      <c r="Y157" t="s">
        <v>116</v>
      </c>
      <c r="Z157"/>
      <c r="AA157"/>
      <c r="AB157" t="s">
        <v>116</v>
      </c>
      <c r="AC157"/>
      <c r="AD157"/>
      <c r="AE157" t="s">
        <v>116</v>
      </c>
      <c r="AF157" t="s">
        <v>117</v>
      </c>
      <c r="AG157" t="s">
        <v>118</v>
      </c>
      <c r="AH157" t="s">
        <v>119</v>
      </c>
      <c r="AI157" t="s">
        <v>120</v>
      </c>
      <c r="AJ157" t="s">
        <v>121</v>
      </c>
      <c r="AK157" t="s">
        <v>122</v>
      </c>
      <c r="AL157"/>
      <c r="AM157"/>
      <c r="AN157" t="s">
        <v>116</v>
      </c>
      <c r="AO157"/>
      <c r="AP157"/>
      <c r="AQ157" t="s">
        <v>116</v>
      </c>
      <c r="AR157"/>
      <c r="AS157"/>
      <c r="AT157" t="s">
        <v>116</v>
      </c>
      <c r="AU157"/>
      <c r="AV157"/>
      <c r="AW157" t="s">
        <v>116</v>
      </c>
      <c r="AX157"/>
      <c r="AY157"/>
      <c r="AZ157" t="s">
        <v>116</v>
      </c>
      <c r="BA157"/>
      <c r="BB157"/>
      <c r="BC157" t="s">
        <v>116</v>
      </c>
      <c r="BD157"/>
      <c r="BE157"/>
      <c r="BF157" t="s">
        <v>116</v>
      </c>
      <c r="BG157"/>
      <c r="BH157"/>
      <c r="BI157" t="s">
        <v>116</v>
      </c>
      <c r="BJ157"/>
      <c r="BK157"/>
      <c r="BL157" s="8">
        <v>40000</v>
      </c>
      <c r="BM157" s="8">
        <v>0</v>
      </c>
      <c r="BN157" s="8">
        <v>0</v>
      </c>
      <c r="BO157" s="8">
        <v>0</v>
      </c>
      <c r="BP157" s="8">
        <v>40000</v>
      </c>
      <c r="BQ157" s="8">
        <v>0</v>
      </c>
      <c r="BR157" s="8">
        <v>0</v>
      </c>
      <c r="BS157" s="8">
        <v>0</v>
      </c>
      <c r="BT157" s="8">
        <v>0</v>
      </c>
      <c r="BU157" s="8">
        <v>0</v>
      </c>
      <c r="BV157" s="8">
        <v>0</v>
      </c>
      <c r="BW157" s="8">
        <v>0</v>
      </c>
      <c r="BX157" s="8">
        <v>0</v>
      </c>
      <c r="BY157" t="s">
        <v>99</v>
      </c>
      <c r="BZ157" t="s">
        <v>123</v>
      </c>
      <c r="CA157"/>
      <c r="CB157"/>
      <c r="CC157"/>
      <c r="CD157"/>
      <c r="CE157"/>
      <c r="CF157"/>
      <c r="CG157"/>
      <c r="CH157"/>
      <c r="CI157"/>
      <c r="CJ157"/>
      <c r="CK157"/>
      <c r="CL157"/>
      <c r="CM157"/>
      <c r="CN157"/>
      <c r="CO157"/>
      <c r="CP157"/>
      <c r="CQ157"/>
      <c r="CR157"/>
      <c r="CS157"/>
      <c r="CT157"/>
      <c r="CU157"/>
      <c r="CV157"/>
      <c r="CW157"/>
      <c r="CX157"/>
      <c r="CY157"/>
      <c r="CZ157"/>
      <c r="DA157"/>
      <c r="DB157"/>
      <c r="DC157"/>
      <c r="DD157"/>
    </row>
    <row r="158" spans="1:108" x14ac:dyDescent="0.25">
      <c r="A158" t="s">
        <v>99</v>
      </c>
      <c r="B158" t="s">
        <v>100</v>
      </c>
      <c r="C158" t="s">
        <v>5</v>
      </c>
      <c r="D158" t="s">
        <v>101</v>
      </c>
      <c r="E158" t="s">
        <v>102</v>
      </c>
      <c r="F158" t="s">
        <v>103</v>
      </c>
      <c r="G158" t="s">
        <v>104</v>
      </c>
      <c r="H158" t="s">
        <v>105</v>
      </c>
      <c r="I158" s="6" t="s">
        <v>106</v>
      </c>
      <c r="J158" s="6" t="s">
        <v>107</v>
      </c>
      <c r="K158" s="6" t="s">
        <v>277</v>
      </c>
      <c r="L158" s="6" t="s">
        <v>278</v>
      </c>
      <c r="M158" s="6" t="s">
        <v>279</v>
      </c>
      <c r="N158" s="6" t="s">
        <v>395</v>
      </c>
      <c r="O158" s="6" t="s">
        <v>112</v>
      </c>
      <c r="P158" s="6" t="s">
        <v>396</v>
      </c>
      <c r="Q158" s="6" t="s">
        <v>402</v>
      </c>
      <c r="R158" t="s">
        <v>112</v>
      </c>
      <c r="S158" t="s">
        <v>403</v>
      </c>
      <c r="T158"/>
      <c r="U158"/>
      <c r="V158" t="s">
        <v>116</v>
      </c>
      <c r="W158"/>
      <c r="X158"/>
      <c r="Y158" t="s">
        <v>116</v>
      </c>
      <c r="Z158"/>
      <c r="AA158"/>
      <c r="AB158" t="s">
        <v>116</v>
      </c>
      <c r="AC158"/>
      <c r="AD158"/>
      <c r="AE158" t="s">
        <v>116</v>
      </c>
      <c r="AF158" t="s">
        <v>117</v>
      </c>
      <c r="AG158" t="s">
        <v>118</v>
      </c>
      <c r="AH158" t="s">
        <v>119</v>
      </c>
      <c r="AI158" t="s">
        <v>120</v>
      </c>
      <c r="AJ158" t="s">
        <v>121</v>
      </c>
      <c r="AK158" t="s">
        <v>122</v>
      </c>
      <c r="AL158" t="s">
        <v>404</v>
      </c>
      <c r="AM158" t="s">
        <v>405</v>
      </c>
      <c r="AN158" t="s">
        <v>406</v>
      </c>
      <c r="AO158"/>
      <c r="AP158"/>
      <c r="AQ158" t="s">
        <v>116</v>
      </c>
      <c r="AR158"/>
      <c r="AS158"/>
      <c r="AT158" t="s">
        <v>116</v>
      </c>
      <c r="AU158"/>
      <c r="AV158"/>
      <c r="AW158" t="s">
        <v>116</v>
      </c>
      <c r="AX158"/>
      <c r="AY158"/>
      <c r="AZ158" t="s">
        <v>116</v>
      </c>
      <c r="BA158"/>
      <c r="BB158"/>
      <c r="BC158" t="s">
        <v>116</v>
      </c>
      <c r="BD158"/>
      <c r="BE158"/>
      <c r="BF158" t="s">
        <v>116</v>
      </c>
      <c r="BG158"/>
      <c r="BH158"/>
      <c r="BI158" t="s">
        <v>116</v>
      </c>
      <c r="BJ158"/>
      <c r="BK158"/>
      <c r="BL158" s="8">
        <v>0</v>
      </c>
      <c r="BM158" s="8">
        <v>30546.75</v>
      </c>
      <c r="BN158" s="8">
        <v>30546.75</v>
      </c>
      <c r="BO158" s="8">
        <v>0</v>
      </c>
      <c r="BP158" s="8">
        <v>-30546.75</v>
      </c>
      <c r="BQ158" s="8">
        <v>0</v>
      </c>
      <c r="BR158" s="8">
        <v>0</v>
      </c>
      <c r="BS158" s="8">
        <v>0</v>
      </c>
      <c r="BT158" s="8">
        <v>0</v>
      </c>
      <c r="BU158" s="8">
        <v>0</v>
      </c>
      <c r="BV158" s="8">
        <v>0</v>
      </c>
      <c r="BW158" s="8">
        <v>0</v>
      </c>
      <c r="BX158" s="8">
        <v>0</v>
      </c>
      <c r="BY158" t="s">
        <v>99</v>
      </c>
      <c r="BZ158" t="s">
        <v>123</v>
      </c>
      <c r="CA158"/>
      <c r="CB158"/>
      <c r="CC158"/>
      <c r="CD158"/>
      <c r="CE158"/>
      <c r="CF158"/>
      <c r="CG158"/>
      <c r="CH158"/>
      <c r="CI158"/>
      <c r="CJ158"/>
      <c r="CK158"/>
      <c r="CL158"/>
      <c r="CM158"/>
      <c r="CN158"/>
      <c r="CO158"/>
      <c r="CP158"/>
      <c r="CQ158"/>
      <c r="CR158"/>
      <c r="CS158"/>
      <c r="CT158"/>
      <c r="CU158"/>
      <c r="CV158"/>
      <c r="CW158"/>
      <c r="CX158"/>
      <c r="CY158"/>
      <c r="CZ158"/>
      <c r="DA158"/>
      <c r="DB158"/>
      <c r="DC158"/>
      <c r="DD158"/>
    </row>
    <row r="159" spans="1:108" x14ac:dyDescent="0.25">
      <c r="A159" t="s">
        <v>99</v>
      </c>
      <c r="B159" t="s">
        <v>100</v>
      </c>
      <c r="C159" t="s">
        <v>5</v>
      </c>
      <c r="D159" t="s">
        <v>101</v>
      </c>
      <c r="E159" t="s">
        <v>102</v>
      </c>
      <c r="F159" t="s">
        <v>103</v>
      </c>
      <c r="G159" t="s">
        <v>104</v>
      </c>
      <c r="H159" t="s">
        <v>105</v>
      </c>
      <c r="I159" s="6" t="s">
        <v>106</v>
      </c>
      <c r="J159" s="6" t="s">
        <v>107</v>
      </c>
      <c r="K159" s="6" t="s">
        <v>277</v>
      </c>
      <c r="L159" s="6" t="s">
        <v>278</v>
      </c>
      <c r="M159" s="6" t="s">
        <v>279</v>
      </c>
      <c r="N159" s="6" t="s">
        <v>395</v>
      </c>
      <c r="O159" s="6" t="s">
        <v>112</v>
      </c>
      <c r="P159" s="6" t="s">
        <v>396</v>
      </c>
      <c r="Q159" s="6" t="s">
        <v>407</v>
      </c>
      <c r="R159" t="s">
        <v>112</v>
      </c>
      <c r="S159" t="s">
        <v>408</v>
      </c>
      <c r="T159"/>
      <c r="U159"/>
      <c r="V159" t="s">
        <v>116</v>
      </c>
      <c r="W159"/>
      <c r="X159"/>
      <c r="Y159" t="s">
        <v>116</v>
      </c>
      <c r="Z159"/>
      <c r="AA159"/>
      <c r="AB159" t="s">
        <v>116</v>
      </c>
      <c r="AC159"/>
      <c r="AD159"/>
      <c r="AE159" t="s">
        <v>116</v>
      </c>
      <c r="AF159" t="s">
        <v>117</v>
      </c>
      <c r="AG159" t="s">
        <v>118</v>
      </c>
      <c r="AH159" t="s">
        <v>119</v>
      </c>
      <c r="AI159" t="s">
        <v>120</v>
      </c>
      <c r="AJ159" t="s">
        <v>121</v>
      </c>
      <c r="AK159" t="s">
        <v>122</v>
      </c>
      <c r="AL159"/>
      <c r="AM159"/>
      <c r="AN159" t="s">
        <v>116</v>
      </c>
      <c r="AO159"/>
      <c r="AP159"/>
      <c r="AQ159" t="s">
        <v>116</v>
      </c>
      <c r="AR159"/>
      <c r="AS159"/>
      <c r="AT159" t="s">
        <v>116</v>
      </c>
      <c r="AU159"/>
      <c r="AV159"/>
      <c r="AW159" t="s">
        <v>116</v>
      </c>
      <c r="AX159"/>
      <c r="AY159"/>
      <c r="AZ159" t="s">
        <v>116</v>
      </c>
      <c r="BA159"/>
      <c r="BB159"/>
      <c r="BC159" t="s">
        <v>116</v>
      </c>
      <c r="BD159"/>
      <c r="BE159"/>
      <c r="BF159" t="s">
        <v>116</v>
      </c>
      <c r="BG159"/>
      <c r="BH159"/>
      <c r="BI159" t="s">
        <v>116</v>
      </c>
      <c r="BJ159"/>
      <c r="BK159"/>
      <c r="BL159" s="8">
        <v>1500</v>
      </c>
      <c r="BM159" s="8">
        <v>0</v>
      </c>
      <c r="BN159" s="8">
        <v>0</v>
      </c>
      <c r="BO159" s="8">
        <v>0</v>
      </c>
      <c r="BP159" s="8">
        <v>1500</v>
      </c>
      <c r="BQ159" s="8">
        <v>0</v>
      </c>
      <c r="BR159" s="8">
        <v>0</v>
      </c>
      <c r="BS159" s="8">
        <v>0</v>
      </c>
      <c r="BT159" s="8">
        <v>0</v>
      </c>
      <c r="BU159" s="8">
        <v>0</v>
      </c>
      <c r="BV159" s="8">
        <v>0</v>
      </c>
      <c r="BW159" s="8">
        <v>0</v>
      </c>
      <c r="BX159" s="8">
        <v>0</v>
      </c>
      <c r="BY159" t="s">
        <v>99</v>
      </c>
      <c r="BZ159" t="s">
        <v>123</v>
      </c>
      <c r="CA159"/>
      <c r="CB159"/>
      <c r="CC159"/>
      <c r="CD159"/>
      <c r="CE159"/>
      <c r="CF159"/>
      <c r="CG159"/>
      <c r="CH159"/>
      <c r="CI159"/>
      <c r="CJ159"/>
      <c r="CK159"/>
      <c r="CL159"/>
      <c r="CM159"/>
      <c r="CN159"/>
      <c r="CO159"/>
      <c r="CP159"/>
      <c r="CQ159"/>
      <c r="CR159"/>
      <c r="CS159"/>
      <c r="CT159"/>
      <c r="CU159"/>
      <c r="CV159"/>
      <c r="CW159"/>
      <c r="CX159"/>
      <c r="CY159"/>
      <c r="CZ159"/>
      <c r="DA159"/>
      <c r="DB159"/>
      <c r="DC159"/>
      <c r="DD159"/>
    </row>
    <row r="160" spans="1:108" x14ac:dyDescent="0.25">
      <c r="A160" t="s">
        <v>99</v>
      </c>
      <c r="B160" t="s">
        <v>100</v>
      </c>
      <c r="C160" t="s">
        <v>5</v>
      </c>
      <c r="D160" t="s">
        <v>101</v>
      </c>
      <c r="E160" t="s">
        <v>102</v>
      </c>
      <c r="F160" t="s">
        <v>103</v>
      </c>
      <c r="G160" t="s">
        <v>104</v>
      </c>
      <c r="H160" t="s">
        <v>105</v>
      </c>
      <c r="I160" s="6" t="s">
        <v>106</v>
      </c>
      <c r="J160" s="6" t="s">
        <v>107</v>
      </c>
      <c r="K160" s="6" t="s">
        <v>277</v>
      </c>
      <c r="L160" s="6" t="s">
        <v>278</v>
      </c>
      <c r="M160" s="6" t="s">
        <v>279</v>
      </c>
      <c r="N160" s="6" t="s">
        <v>395</v>
      </c>
      <c r="O160" s="6" t="s">
        <v>112</v>
      </c>
      <c r="P160" s="6" t="s">
        <v>396</v>
      </c>
      <c r="Q160" s="6" t="s">
        <v>407</v>
      </c>
      <c r="R160" t="s">
        <v>112</v>
      </c>
      <c r="S160" t="s">
        <v>408</v>
      </c>
      <c r="T160"/>
      <c r="U160"/>
      <c r="V160" t="s">
        <v>116</v>
      </c>
      <c r="W160"/>
      <c r="X160"/>
      <c r="Y160" t="s">
        <v>116</v>
      </c>
      <c r="Z160"/>
      <c r="AA160"/>
      <c r="AB160" t="s">
        <v>116</v>
      </c>
      <c r="AC160"/>
      <c r="AD160"/>
      <c r="AE160" t="s">
        <v>116</v>
      </c>
      <c r="AF160" t="s">
        <v>117</v>
      </c>
      <c r="AG160" t="s">
        <v>118</v>
      </c>
      <c r="AH160" t="s">
        <v>119</v>
      </c>
      <c r="AI160" t="s">
        <v>120</v>
      </c>
      <c r="AJ160" t="s">
        <v>121</v>
      </c>
      <c r="AK160" t="s">
        <v>122</v>
      </c>
      <c r="AL160" t="s">
        <v>409</v>
      </c>
      <c r="AM160" t="s">
        <v>410</v>
      </c>
      <c r="AN160" t="s">
        <v>411</v>
      </c>
      <c r="AO160"/>
      <c r="AP160"/>
      <c r="AQ160" t="s">
        <v>116</v>
      </c>
      <c r="AR160"/>
      <c r="AS160"/>
      <c r="AT160" t="s">
        <v>116</v>
      </c>
      <c r="AU160"/>
      <c r="AV160"/>
      <c r="AW160" t="s">
        <v>116</v>
      </c>
      <c r="AX160"/>
      <c r="AY160"/>
      <c r="AZ160" t="s">
        <v>116</v>
      </c>
      <c r="BA160"/>
      <c r="BB160"/>
      <c r="BC160" t="s">
        <v>116</v>
      </c>
      <c r="BD160"/>
      <c r="BE160"/>
      <c r="BF160" t="s">
        <v>116</v>
      </c>
      <c r="BG160"/>
      <c r="BH160"/>
      <c r="BI160" t="s">
        <v>116</v>
      </c>
      <c r="BJ160"/>
      <c r="BK160"/>
      <c r="BL160" s="8">
        <v>0</v>
      </c>
      <c r="BM160" s="8">
        <v>888.96</v>
      </c>
      <c r="BN160" s="8">
        <v>888.96</v>
      </c>
      <c r="BO160" s="8">
        <v>0</v>
      </c>
      <c r="BP160" s="8">
        <v>-888.96</v>
      </c>
      <c r="BQ160" s="8">
        <v>0</v>
      </c>
      <c r="BR160" s="8">
        <v>0</v>
      </c>
      <c r="BS160" s="8">
        <v>0</v>
      </c>
      <c r="BT160" s="8">
        <v>0</v>
      </c>
      <c r="BU160" s="8">
        <v>0</v>
      </c>
      <c r="BV160" s="8">
        <v>0</v>
      </c>
      <c r="BW160" s="8">
        <v>0</v>
      </c>
      <c r="BX160" s="8">
        <v>0</v>
      </c>
      <c r="BY160" t="s">
        <v>99</v>
      </c>
      <c r="BZ160" t="s">
        <v>123</v>
      </c>
      <c r="CA160"/>
      <c r="CB160"/>
      <c r="CC160"/>
      <c r="CD160"/>
      <c r="CE160"/>
      <c r="CF160"/>
      <c r="CG160"/>
      <c r="CH160"/>
      <c r="CI160"/>
      <c r="CJ160"/>
      <c r="CK160"/>
      <c r="CL160"/>
      <c r="CM160"/>
      <c r="CN160"/>
      <c r="CO160"/>
      <c r="CP160"/>
      <c r="CQ160"/>
      <c r="CR160"/>
      <c r="CS160"/>
      <c r="CT160"/>
      <c r="CU160"/>
      <c r="CV160"/>
      <c r="CW160"/>
      <c r="CX160"/>
      <c r="CY160"/>
      <c r="CZ160"/>
      <c r="DA160"/>
      <c r="DB160"/>
      <c r="DC160"/>
      <c r="DD160"/>
    </row>
    <row r="161" spans="1:108" x14ac:dyDescent="0.25">
      <c r="A161" t="s">
        <v>99</v>
      </c>
      <c r="B161" t="s">
        <v>100</v>
      </c>
      <c r="C161" t="s">
        <v>5</v>
      </c>
      <c r="D161" t="s">
        <v>101</v>
      </c>
      <c r="E161" t="s">
        <v>102</v>
      </c>
      <c r="F161" t="s">
        <v>103</v>
      </c>
      <c r="G161" t="s">
        <v>104</v>
      </c>
      <c r="H161" t="s">
        <v>105</v>
      </c>
      <c r="I161" s="6" t="s">
        <v>106</v>
      </c>
      <c r="J161" s="6" t="s">
        <v>107</v>
      </c>
      <c r="K161" s="6" t="s">
        <v>277</v>
      </c>
      <c r="L161" s="6" t="s">
        <v>278</v>
      </c>
      <c r="M161" s="6" t="s">
        <v>279</v>
      </c>
      <c r="N161" s="6" t="s">
        <v>395</v>
      </c>
      <c r="O161" s="6" t="s">
        <v>112</v>
      </c>
      <c r="P161" s="6" t="s">
        <v>396</v>
      </c>
      <c r="Q161" s="6" t="s">
        <v>412</v>
      </c>
      <c r="R161" t="s">
        <v>112</v>
      </c>
      <c r="S161" t="s">
        <v>413</v>
      </c>
      <c r="T161"/>
      <c r="U161"/>
      <c r="V161" t="s">
        <v>116</v>
      </c>
      <c r="W161"/>
      <c r="X161"/>
      <c r="Y161" t="s">
        <v>116</v>
      </c>
      <c r="Z161"/>
      <c r="AA161"/>
      <c r="AB161" t="s">
        <v>116</v>
      </c>
      <c r="AC161"/>
      <c r="AD161"/>
      <c r="AE161" t="s">
        <v>116</v>
      </c>
      <c r="AF161" t="s">
        <v>117</v>
      </c>
      <c r="AG161" t="s">
        <v>118</v>
      </c>
      <c r="AH161" t="s">
        <v>119</v>
      </c>
      <c r="AI161" t="s">
        <v>120</v>
      </c>
      <c r="AJ161" t="s">
        <v>121</v>
      </c>
      <c r="AK161" t="s">
        <v>122</v>
      </c>
      <c r="AL161"/>
      <c r="AM161"/>
      <c r="AN161" t="s">
        <v>116</v>
      </c>
      <c r="AO161"/>
      <c r="AP161"/>
      <c r="AQ161" t="s">
        <v>116</v>
      </c>
      <c r="AR161"/>
      <c r="AS161"/>
      <c r="AT161" t="s">
        <v>116</v>
      </c>
      <c r="AU161"/>
      <c r="AV161"/>
      <c r="AW161" t="s">
        <v>116</v>
      </c>
      <c r="AX161"/>
      <c r="AY161"/>
      <c r="AZ161" t="s">
        <v>116</v>
      </c>
      <c r="BA161"/>
      <c r="BB161"/>
      <c r="BC161" t="s">
        <v>116</v>
      </c>
      <c r="BD161"/>
      <c r="BE161"/>
      <c r="BF161" t="s">
        <v>116</v>
      </c>
      <c r="BG161"/>
      <c r="BH161"/>
      <c r="BI161" t="s">
        <v>116</v>
      </c>
      <c r="BJ161"/>
      <c r="BK161"/>
      <c r="BL161" s="8">
        <v>6000</v>
      </c>
      <c r="BM161" s="8">
        <v>0</v>
      </c>
      <c r="BN161" s="8">
        <v>0</v>
      </c>
      <c r="BO161" s="8">
        <v>0</v>
      </c>
      <c r="BP161" s="8">
        <v>6000</v>
      </c>
      <c r="BQ161" s="8">
        <v>0</v>
      </c>
      <c r="BR161" s="8">
        <v>0</v>
      </c>
      <c r="BS161" s="8">
        <v>0</v>
      </c>
      <c r="BT161" s="8">
        <v>0</v>
      </c>
      <c r="BU161" s="8">
        <v>0</v>
      </c>
      <c r="BV161" s="8">
        <v>0</v>
      </c>
      <c r="BW161" s="8">
        <v>0</v>
      </c>
      <c r="BX161" s="8">
        <v>0</v>
      </c>
      <c r="BY161" t="s">
        <v>99</v>
      </c>
      <c r="BZ161" t="s">
        <v>123</v>
      </c>
      <c r="CA161"/>
      <c r="CB161"/>
      <c r="CC161"/>
      <c r="CD161"/>
      <c r="CE161"/>
      <c r="CF161"/>
      <c r="CG161"/>
      <c r="CH161"/>
      <c r="CI161"/>
      <c r="CJ161"/>
      <c r="CK161"/>
      <c r="CL161"/>
      <c r="CM161"/>
      <c r="CN161"/>
      <c r="CO161"/>
      <c r="CP161"/>
      <c r="CQ161"/>
      <c r="CR161"/>
      <c r="CS161"/>
      <c r="CT161"/>
      <c r="CU161"/>
      <c r="CV161"/>
      <c r="CW161"/>
      <c r="CX161"/>
      <c r="CY161"/>
      <c r="CZ161"/>
      <c r="DA161"/>
      <c r="DB161"/>
      <c r="DC161"/>
      <c r="DD161"/>
    </row>
    <row r="162" spans="1:108" x14ac:dyDescent="0.25">
      <c r="A162" t="s">
        <v>99</v>
      </c>
      <c r="B162" t="s">
        <v>100</v>
      </c>
      <c r="C162" t="s">
        <v>5</v>
      </c>
      <c r="D162" t="s">
        <v>101</v>
      </c>
      <c r="E162" t="s">
        <v>102</v>
      </c>
      <c r="F162" t="s">
        <v>103</v>
      </c>
      <c r="G162" t="s">
        <v>104</v>
      </c>
      <c r="H162" t="s">
        <v>105</v>
      </c>
      <c r="I162" s="6" t="s">
        <v>106</v>
      </c>
      <c r="J162" s="6" t="s">
        <v>107</v>
      </c>
      <c r="K162" s="6" t="s">
        <v>277</v>
      </c>
      <c r="L162" s="6" t="s">
        <v>278</v>
      </c>
      <c r="M162" s="6" t="s">
        <v>279</v>
      </c>
      <c r="N162" s="6" t="s">
        <v>395</v>
      </c>
      <c r="O162" s="6" t="s">
        <v>112</v>
      </c>
      <c r="P162" s="6" t="s">
        <v>396</v>
      </c>
      <c r="Q162" s="6" t="s">
        <v>412</v>
      </c>
      <c r="R162" t="s">
        <v>112</v>
      </c>
      <c r="S162" t="s">
        <v>413</v>
      </c>
      <c r="T162"/>
      <c r="U162"/>
      <c r="V162" t="s">
        <v>116</v>
      </c>
      <c r="W162"/>
      <c r="X162"/>
      <c r="Y162" t="s">
        <v>116</v>
      </c>
      <c r="Z162"/>
      <c r="AA162"/>
      <c r="AB162" t="s">
        <v>116</v>
      </c>
      <c r="AC162"/>
      <c r="AD162"/>
      <c r="AE162" t="s">
        <v>116</v>
      </c>
      <c r="AF162" t="s">
        <v>117</v>
      </c>
      <c r="AG162" t="s">
        <v>118</v>
      </c>
      <c r="AH162" t="s">
        <v>119</v>
      </c>
      <c r="AI162" t="s">
        <v>120</v>
      </c>
      <c r="AJ162" t="s">
        <v>121</v>
      </c>
      <c r="AK162" t="s">
        <v>122</v>
      </c>
      <c r="AL162" t="s">
        <v>399</v>
      </c>
      <c r="AM162" t="s">
        <v>400</v>
      </c>
      <c r="AN162" t="s">
        <v>401</v>
      </c>
      <c r="AO162"/>
      <c r="AP162"/>
      <c r="AQ162" t="s">
        <v>116</v>
      </c>
      <c r="AR162"/>
      <c r="AS162"/>
      <c r="AT162" t="s">
        <v>116</v>
      </c>
      <c r="AU162"/>
      <c r="AV162"/>
      <c r="AW162" t="s">
        <v>116</v>
      </c>
      <c r="AX162"/>
      <c r="AY162"/>
      <c r="AZ162" t="s">
        <v>116</v>
      </c>
      <c r="BA162"/>
      <c r="BB162"/>
      <c r="BC162" t="s">
        <v>116</v>
      </c>
      <c r="BD162"/>
      <c r="BE162"/>
      <c r="BF162" t="s">
        <v>116</v>
      </c>
      <c r="BG162"/>
      <c r="BH162"/>
      <c r="BI162" t="s">
        <v>116</v>
      </c>
      <c r="BJ162"/>
      <c r="BK162"/>
      <c r="BL162" s="8">
        <v>0</v>
      </c>
      <c r="BM162" s="8">
        <v>6000</v>
      </c>
      <c r="BN162" s="8">
        <v>6000</v>
      </c>
      <c r="BO162" s="8">
        <v>0</v>
      </c>
      <c r="BP162" s="8">
        <v>-6000</v>
      </c>
      <c r="BQ162" s="8">
        <v>0</v>
      </c>
      <c r="BR162" s="8">
        <v>0</v>
      </c>
      <c r="BS162" s="8">
        <v>0</v>
      </c>
      <c r="BT162" s="8">
        <v>0</v>
      </c>
      <c r="BU162" s="8">
        <v>0</v>
      </c>
      <c r="BV162" s="8">
        <v>0</v>
      </c>
      <c r="BW162" s="8">
        <v>0</v>
      </c>
      <c r="BX162" s="8">
        <v>0</v>
      </c>
      <c r="BY162" t="s">
        <v>99</v>
      </c>
      <c r="BZ162" t="s">
        <v>123</v>
      </c>
      <c r="CA162"/>
      <c r="CB162"/>
      <c r="CC162"/>
      <c r="CD162"/>
      <c r="CE162"/>
      <c r="CF162"/>
      <c r="CG162"/>
      <c r="CH162"/>
      <c r="CI162"/>
      <c r="CJ162"/>
      <c r="CK162"/>
      <c r="CL162"/>
      <c r="CM162"/>
      <c r="CN162"/>
      <c r="CO162"/>
      <c r="CP162"/>
      <c r="CQ162"/>
      <c r="CR162"/>
      <c r="CS162"/>
      <c r="CT162"/>
      <c r="CU162"/>
      <c r="CV162"/>
      <c r="CW162"/>
      <c r="CX162"/>
      <c r="CY162"/>
      <c r="CZ162"/>
      <c r="DA162"/>
      <c r="DB162"/>
      <c r="DC162"/>
      <c r="DD162"/>
    </row>
    <row r="163" spans="1:108" x14ac:dyDescent="0.25">
      <c r="A163" t="s">
        <v>99</v>
      </c>
      <c r="B163" t="s">
        <v>100</v>
      </c>
      <c r="C163" t="s">
        <v>5</v>
      </c>
      <c r="D163" t="s">
        <v>101</v>
      </c>
      <c r="E163" t="s">
        <v>102</v>
      </c>
      <c r="F163" t="s">
        <v>103</v>
      </c>
      <c r="G163" t="s">
        <v>104</v>
      </c>
      <c r="H163" t="s">
        <v>105</v>
      </c>
      <c r="I163" s="6" t="s">
        <v>106</v>
      </c>
      <c r="J163" s="6" t="s">
        <v>107</v>
      </c>
      <c r="K163" s="6" t="s">
        <v>277</v>
      </c>
      <c r="L163" s="6" t="s">
        <v>278</v>
      </c>
      <c r="M163" s="6" t="s">
        <v>279</v>
      </c>
      <c r="N163" s="6" t="s">
        <v>395</v>
      </c>
      <c r="O163" s="6" t="s">
        <v>112</v>
      </c>
      <c r="P163" s="6" t="s">
        <v>396</v>
      </c>
      <c r="Q163" s="6" t="s">
        <v>414</v>
      </c>
      <c r="R163" t="s">
        <v>112</v>
      </c>
      <c r="S163" t="s">
        <v>415</v>
      </c>
      <c r="T163"/>
      <c r="U163"/>
      <c r="V163" t="s">
        <v>116</v>
      </c>
      <c r="W163"/>
      <c r="X163"/>
      <c r="Y163" t="s">
        <v>116</v>
      </c>
      <c r="Z163"/>
      <c r="AA163"/>
      <c r="AB163" t="s">
        <v>116</v>
      </c>
      <c r="AC163"/>
      <c r="AD163"/>
      <c r="AE163" t="s">
        <v>116</v>
      </c>
      <c r="AF163" t="s">
        <v>117</v>
      </c>
      <c r="AG163" t="s">
        <v>118</v>
      </c>
      <c r="AH163" t="s">
        <v>119</v>
      </c>
      <c r="AI163" t="s">
        <v>120</v>
      </c>
      <c r="AJ163" t="s">
        <v>121</v>
      </c>
      <c r="AK163" t="s">
        <v>122</v>
      </c>
      <c r="AL163"/>
      <c r="AM163"/>
      <c r="AN163" t="s">
        <v>116</v>
      </c>
      <c r="AO163"/>
      <c r="AP163"/>
      <c r="AQ163" t="s">
        <v>116</v>
      </c>
      <c r="AR163"/>
      <c r="AS163"/>
      <c r="AT163" t="s">
        <v>116</v>
      </c>
      <c r="AU163"/>
      <c r="AV163"/>
      <c r="AW163" t="s">
        <v>116</v>
      </c>
      <c r="AX163"/>
      <c r="AY163"/>
      <c r="AZ163" t="s">
        <v>116</v>
      </c>
      <c r="BA163"/>
      <c r="BB163"/>
      <c r="BC163" t="s">
        <v>116</v>
      </c>
      <c r="BD163"/>
      <c r="BE163"/>
      <c r="BF163" t="s">
        <v>116</v>
      </c>
      <c r="BG163"/>
      <c r="BH163"/>
      <c r="BI163" t="s">
        <v>116</v>
      </c>
      <c r="BJ163"/>
      <c r="BK163"/>
      <c r="BL163" s="8">
        <v>6000</v>
      </c>
      <c r="BM163" s="8">
        <v>0</v>
      </c>
      <c r="BN163" s="8">
        <v>0</v>
      </c>
      <c r="BO163" s="8">
        <v>0</v>
      </c>
      <c r="BP163" s="8">
        <v>6000</v>
      </c>
      <c r="BQ163" s="8">
        <v>0</v>
      </c>
      <c r="BR163" s="8">
        <v>0</v>
      </c>
      <c r="BS163" s="8">
        <v>0</v>
      </c>
      <c r="BT163" s="8">
        <v>0</v>
      </c>
      <c r="BU163" s="8">
        <v>0</v>
      </c>
      <c r="BV163" s="8">
        <v>0</v>
      </c>
      <c r="BW163" s="8">
        <v>0</v>
      </c>
      <c r="BX163" s="8">
        <v>0</v>
      </c>
      <c r="BY163" t="s">
        <v>99</v>
      </c>
      <c r="BZ163" t="s">
        <v>123</v>
      </c>
      <c r="CA163"/>
      <c r="CB163"/>
      <c r="CC163"/>
      <c r="CD163"/>
      <c r="CE163"/>
      <c r="CF163"/>
      <c r="CG163"/>
      <c r="CH163"/>
      <c r="CI163"/>
      <c r="CJ163"/>
      <c r="CK163"/>
      <c r="CL163"/>
      <c r="CM163"/>
      <c r="CN163"/>
      <c r="CO163"/>
      <c r="CP163"/>
      <c r="CQ163"/>
      <c r="CR163"/>
      <c r="CS163"/>
      <c r="CT163"/>
      <c r="CU163"/>
      <c r="CV163"/>
      <c r="CW163"/>
      <c r="CX163"/>
      <c r="CY163"/>
      <c r="CZ163"/>
      <c r="DA163"/>
      <c r="DB163"/>
      <c r="DC163"/>
      <c r="DD163"/>
    </row>
    <row r="164" spans="1:108" x14ac:dyDescent="0.25">
      <c r="A164" t="s">
        <v>99</v>
      </c>
      <c r="B164" t="s">
        <v>100</v>
      </c>
      <c r="C164" t="s">
        <v>5</v>
      </c>
      <c r="D164" t="s">
        <v>101</v>
      </c>
      <c r="E164" t="s">
        <v>102</v>
      </c>
      <c r="F164" t="s">
        <v>103</v>
      </c>
      <c r="G164" t="s">
        <v>104</v>
      </c>
      <c r="H164" t="s">
        <v>105</v>
      </c>
      <c r="I164" s="6" t="s">
        <v>106</v>
      </c>
      <c r="J164" s="6" t="s">
        <v>107</v>
      </c>
      <c r="K164" s="6" t="s">
        <v>277</v>
      </c>
      <c r="L164" s="6" t="s">
        <v>278</v>
      </c>
      <c r="M164" s="6" t="s">
        <v>279</v>
      </c>
      <c r="N164" s="6" t="s">
        <v>395</v>
      </c>
      <c r="O164" s="6" t="s">
        <v>112</v>
      </c>
      <c r="P164" s="6" t="s">
        <v>396</v>
      </c>
      <c r="Q164" s="6" t="s">
        <v>414</v>
      </c>
      <c r="R164" t="s">
        <v>112</v>
      </c>
      <c r="S164" t="s">
        <v>415</v>
      </c>
      <c r="T164"/>
      <c r="U164"/>
      <c r="V164" t="s">
        <v>116</v>
      </c>
      <c r="W164"/>
      <c r="X164"/>
      <c r="Y164" t="s">
        <v>116</v>
      </c>
      <c r="Z164"/>
      <c r="AA164"/>
      <c r="AB164" t="s">
        <v>116</v>
      </c>
      <c r="AC164"/>
      <c r="AD164"/>
      <c r="AE164" t="s">
        <v>116</v>
      </c>
      <c r="AF164" t="s">
        <v>117</v>
      </c>
      <c r="AG164" t="s">
        <v>118</v>
      </c>
      <c r="AH164" t="s">
        <v>119</v>
      </c>
      <c r="AI164" t="s">
        <v>120</v>
      </c>
      <c r="AJ164" t="s">
        <v>121</v>
      </c>
      <c r="AK164" t="s">
        <v>122</v>
      </c>
      <c r="AL164" t="s">
        <v>404</v>
      </c>
      <c r="AM164" t="s">
        <v>405</v>
      </c>
      <c r="AN164" t="s">
        <v>406</v>
      </c>
      <c r="AO164"/>
      <c r="AP164"/>
      <c r="AQ164" t="s">
        <v>116</v>
      </c>
      <c r="AR164"/>
      <c r="AS164"/>
      <c r="AT164" t="s">
        <v>116</v>
      </c>
      <c r="AU164"/>
      <c r="AV164"/>
      <c r="AW164" t="s">
        <v>116</v>
      </c>
      <c r="AX164"/>
      <c r="AY164"/>
      <c r="AZ164" t="s">
        <v>116</v>
      </c>
      <c r="BA164"/>
      <c r="BB164"/>
      <c r="BC164" t="s">
        <v>116</v>
      </c>
      <c r="BD164"/>
      <c r="BE164"/>
      <c r="BF164" t="s">
        <v>116</v>
      </c>
      <c r="BG164"/>
      <c r="BH164"/>
      <c r="BI164" t="s">
        <v>116</v>
      </c>
      <c r="BJ164"/>
      <c r="BK164"/>
      <c r="BL164" s="8">
        <v>0</v>
      </c>
      <c r="BM164" s="8">
        <v>5794.54</v>
      </c>
      <c r="BN164" s="8">
        <v>5794.54</v>
      </c>
      <c r="BO164" s="8">
        <v>0</v>
      </c>
      <c r="BP164" s="8">
        <v>-5794.54</v>
      </c>
      <c r="BQ164" s="8">
        <v>0</v>
      </c>
      <c r="BR164" s="8">
        <v>0</v>
      </c>
      <c r="BS164" s="8">
        <v>0</v>
      </c>
      <c r="BT164" s="8">
        <v>0</v>
      </c>
      <c r="BU164" s="8">
        <v>0</v>
      </c>
      <c r="BV164" s="8">
        <v>0</v>
      </c>
      <c r="BW164" s="8">
        <v>0</v>
      </c>
      <c r="BX164" s="8">
        <v>0</v>
      </c>
      <c r="BY164" t="s">
        <v>99</v>
      </c>
      <c r="BZ164" t="s">
        <v>123</v>
      </c>
      <c r="CA164"/>
      <c r="CB164"/>
      <c r="CC164"/>
      <c r="CD164"/>
      <c r="CE164"/>
      <c r="CF164"/>
      <c r="CG164"/>
      <c r="CH164"/>
      <c r="CI164"/>
      <c r="CJ164"/>
      <c r="CK164"/>
      <c r="CL164"/>
      <c r="CM164"/>
      <c r="CN164"/>
      <c r="CO164"/>
      <c r="CP164"/>
      <c r="CQ164"/>
      <c r="CR164"/>
      <c r="CS164"/>
      <c r="CT164"/>
      <c r="CU164"/>
      <c r="CV164"/>
      <c r="CW164"/>
      <c r="CX164"/>
      <c r="CY164"/>
      <c r="CZ164"/>
      <c r="DA164"/>
      <c r="DB164"/>
      <c r="DC164"/>
      <c r="DD164"/>
    </row>
    <row r="165" spans="1:108" x14ac:dyDescent="0.25">
      <c r="A165" t="s">
        <v>99</v>
      </c>
      <c r="B165" t="s">
        <v>100</v>
      </c>
      <c r="C165" t="s">
        <v>5</v>
      </c>
      <c r="D165" t="s">
        <v>101</v>
      </c>
      <c r="E165" t="s">
        <v>102</v>
      </c>
      <c r="F165" t="s">
        <v>103</v>
      </c>
      <c r="G165" t="s">
        <v>104</v>
      </c>
      <c r="H165" t="s">
        <v>416</v>
      </c>
      <c r="I165" s="6" t="s">
        <v>417</v>
      </c>
      <c r="J165" s="6" t="s">
        <v>418</v>
      </c>
      <c r="K165" s="6" t="s">
        <v>419</v>
      </c>
      <c r="L165" s="6" t="s">
        <v>420</v>
      </c>
      <c r="M165" s="6" t="s">
        <v>421</v>
      </c>
      <c r="N165" s="6" t="s">
        <v>422</v>
      </c>
      <c r="O165" s="6" t="s">
        <v>112</v>
      </c>
      <c r="P165" s="6" t="s">
        <v>423</v>
      </c>
      <c r="Q165" s="6" t="s">
        <v>424</v>
      </c>
      <c r="R165" t="s">
        <v>112</v>
      </c>
      <c r="S165" t="s">
        <v>425</v>
      </c>
      <c r="T165"/>
      <c r="U165"/>
      <c r="V165" t="s">
        <v>116</v>
      </c>
      <c r="W165"/>
      <c r="X165"/>
      <c r="Y165" t="s">
        <v>116</v>
      </c>
      <c r="Z165"/>
      <c r="AA165"/>
      <c r="AB165" t="s">
        <v>116</v>
      </c>
      <c r="AC165"/>
      <c r="AD165"/>
      <c r="AE165" t="s">
        <v>116</v>
      </c>
      <c r="AF165" t="s">
        <v>117</v>
      </c>
      <c r="AG165" t="s">
        <v>118</v>
      </c>
      <c r="AH165" t="s">
        <v>119</v>
      </c>
      <c r="AI165" t="s">
        <v>120</v>
      </c>
      <c r="AJ165" t="s">
        <v>121</v>
      </c>
      <c r="AK165" t="s">
        <v>122</v>
      </c>
      <c r="AL165"/>
      <c r="AM165"/>
      <c r="AN165" t="s">
        <v>116</v>
      </c>
      <c r="AO165"/>
      <c r="AP165"/>
      <c r="AQ165" t="s">
        <v>116</v>
      </c>
      <c r="AR165"/>
      <c r="AS165"/>
      <c r="AT165" t="s">
        <v>116</v>
      </c>
      <c r="AU165"/>
      <c r="AV165"/>
      <c r="AW165" t="s">
        <v>116</v>
      </c>
      <c r="AX165"/>
      <c r="AY165"/>
      <c r="AZ165" t="s">
        <v>116</v>
      </c>
      <c r="BA165"/>
      <c r="BB165"/>
      <c r="BC165" t="s">
        <v>116</v>
      </c>
      <c r="BD165"/>
      <c r="BE165"/>
      <c r="BF165" t="s">
        <v>116</v>
      </c>
      <c r="BG165"/>
      <c r="BH165"/>
      <c r="BI165" t="s">
        <v>116</v>
      </c>
      <c r="BJ165"/>
      <c r="BK165"/>
      <c r="BL165" s="8">
        <v>51281.52</v>
      </c>
      <c r="BM165" s="8">
        <v>0</v>
      </c>
      <c r="BN165" s="8">
        <v>0</v>
      </c>
      <c r="BO165" s="8">
        <v>0</v>
      </c>
      <c r="BP165" s="8">
        <v>51281.52</v>
      </c>
      <c r="BQ165" s="8">
        <v>0</v>
      </c>
      <c r="BR165" s="8">
        <v>0</v>
      </c>
      <c r="BS165" s="8">
        <v>0</v>
      </c>
      <c r="BT165" s="8">
        <v>0</v>
      </c>
      <c r="BU165" s="8">
        <v>0</v>
      </c>
      <c r="BV165" s="8">
        <v>0</v>
      </c>
      <c r="BW165" s="8">
        <v>0</v>
      </c>
      <c r="BX165" s="8">
        <v>0</v>
      </c>
      <c r="BY165" t="s">
        <v>99</v>
      </c>
      <c r="BZ165" t="s">
        <v>123</v>
      </c>
      <c r="CA165"/>
      <c r="CB165"/>
      <c r="CC165"/>
      <c r="CD165"/>
      <c r="CE165"/>
      <c r="CF165"/>
      <c r="CG165"/>
      <c r="CH165"/>
      <c r="CI165"/>
      <c r="CJ165"/>
      <c r="CK165"/>
      <c r="CL165"/>
      <c r="CM165"/>
      <c r="CN165"/>
      <c r="CO165"/>
      <c r="CP165"/>
      <c r="CQ165"/>
      <c r="CR165"/>
      <c r="CS165"/>
      <c r="CT165"/>
      <c r="CU165"/>
      <c r="CV165"/>
      <c r="CW165"/>
      <c r="CX165"/>
      <c r="CY165"/>
      <c r="CZ165"/>
      <c r="DA165"/>
      <c r="DB165"/>
      <c r="DC165"/>
      <c r="DD165"/>
    </row>
    <row r="166" spans="1:108" x14ac:dyDescent="0.25">
      <c r="A166" t="s">
        <v>99</v>
      </c>
      <c r="B166" t="s">
        <v>100</v>
      </c>
      <c r="C166" t="s">
        <v>5</v>
      </c>
      <c r="D166" t="s">
        <v>101</v>
      </c>
      <c r="E166" t="s">
        <v>102</v>
      </c>
      <c r="F166" t="s">
        <v>103</v>
      </c>
      <c r="G166" t="s">
        <v>104</v>
      </c>
      <c r="H166" t="s">
        <v>416</v>
      </c>
      <c r="I166" s="6" t="s">
        <v>417</v>
      </c>
      <c r="J166" s="6" t="s">
        <v>418</v>
      </c>
      <c r="K166" s="6" t="s">
        <v>419</v>
      </c>
      <c r="L166" s="6" t="s">
        <v>420</v>
      </c>
      <c r="M166" s="6" t="s">
        <v>421</v>
      </c>
      <c r="N166" s="6" t="s">
        <v>422</v>
      </c>
      <c r="O166" s="6" t="s">
        <v>112</v>
      </c>
      <c r="P166" s="6" t="s">
        <v>423</v>
      </c>
      <c r="Q166" s="6" t="s">
        <v>424</v>
      </c>
      <c r="R166" t="s">
        <v>112</v>
      </c>
      <c r="S166" t="s">
        <v>425</v>
      </c>
      <c r="T166"/>
      <c r="U166"/>
      <c r="V166" t="s">
        <v>116</v>
      </c>
      <c r="W166"/>
      <c r="X166"/>
      <c r="Y166" t="s">
        <v>116</v>
      </c>
      <c r="Z166"/>
      <c r="AA166"/>
      <c r="AB166" t="s">
        <v>116</v>
      </c>
      <c r="AC166"/>
      <c r="AD166"/>
      <c r="AE166" t="s">
        <v>116</v>
      </c>
      <c r="AF166" t="s">
        <v>117</v>
      </c>
      <c r="AG166" t="s">
        <v>118</v>
      </c>
      <c r="AH166" t="s">
        <v>119</v>
      </c>
      <c r="AI166" t="s">
        <v>120</v>
      </c>
      <c r="AJ166" t="s">
        <v>121</v>
      </c>
      <c r="AK166" t="s">
        <v>122</v>
      </c>
      <c r="AL166" t="s">
        <v>203</v>
      </c>
      <c r="AM166" t="s">
        <v>204</v>
      </c>
      <c r="AN166" t="s">
        <v>205</v>
      </c>
      <c r="AO166"/>
      <c r="AP166"/>
      <c r="AQ166" t="s">
        <v>116</v>
      </c>
      <c r="AR166"/>
      <c r="AS166"/>
      <c r="AT166" t="s">
        <v>116</v>
      </c>
      <c r="AU166"/>
      <c r="AV166"/>
      <c r="AW166" t="s">
        <v>116</v>
      </c>
      <c r="AX166"/>
      <c r="AY166"/>
      <c r="AZ166" t="s">
        <v>116</v>
      </c>
      <c r="BA166"/>
      <c r="BB166"/>
      <c r="BC166" t="s">
        <v>116</v>
      </c>
      <c r="BD166"/>
      <c r="BE166"/>
      <c r="BF166" t="s">
        <v>116</v>
      </c>
      <c r="BG166"/>
      <c r="BH166"/>
      <c r="BI166" t="s">
        <v>116</v>
      </c>
      <c r="BJ166"/>
      <c r="BK166"/>
      <c r="BL166" s="8">
        <v>0</v>
      </c>
      <c r="BM166" s="8">
        <v>252.15</v>
      </c>
      <c r="BN166" s="8">
        <v>252.15</v>
      </c>
      <c r="BO166" s="8">
        <v>0</v>
      </c>
      <c r="BP166" s="8">
        <v>-252.15</v>
      </c>
      <c r="BQ166" s="8">
        <v>0</v>
      </c>
      <c r="BR166" s="8">
        <v>0</v>
      </c>
      <c r="BS166" s="8">
        <v>0</v>
      </c>
      <c r="BT166" s="8">
        <v>0</v>
      </c>
      <c r="BU166" s="8">
        <v>0</v>
      </c>
      <c r="BV166" s="8">
        <v>0</v>
      </c>
      <c r="BW166" s="8">
        <v>0</v>
      </c>
      <c r="BX166" s="8">
        <v>0</v>
      </c>
      <c r="BY166" t="s">
        <v>99</v>
      </c>
      <c r="BZ166" t="s">
        <v>123</v>
      </c>
      <c r="CA166"/>
      <c r="CB166"/>
      <c r="CC166"/>
      <c r="CD166"/>
      <c r="CE166"/>
      <c r="CF166"/>
      <c r="CG166"/>
      <c r="CH166"/>
      <c r="CI166"/>
      <c r="CJ166"/>
      <c r="CK166"/>
      <c r="CL166"/>
      <c r="CM166"/>
      <c r="CN166"/>
      <c r="CO166"/>
      <c r="CP166"/>
      <c r="CQ166"/>
      <c r="CR166"/>
      <c r="CS166"/>
      <c r="CT166"/>
      <c r="CU166"/>
      <c r="CV166"/>
      <c r="CW166"/>
      <c r="CX166"/>
      <c r="CY166"/>
      <c r="CZ166"/>
      <c r="DA166"/>
      <c r="DB166"/>
      <c r="DC166"/>
      <c r="DD166"/>
    </row>
    <row r="167" spans="1:108" x14ac:dyDescent="0.25">
      <c r="A167" t="s">
        <v>99</v>
      </c>
      <c r="B167" t="s">
        <v>100</v>
      </c>
      <c r="C167" t="s">
        <v>5</v>
      </c>
      <c r="D167" t="s">
        <v>101</v>
      </c>
      <c r="E167" t="s">
        <v>102</v>
      </c>
      <c r="F167" t="s">
        <v>103</v>
      </c>
      <c r="G167" t="s">
        <v>104</v>
      </c>
      <c r="H167" t="s">
        <v>416</v>
      </c>
      <c r="I167" s="6" t="s">
        <v>417</v>
      </c>
      <c r="J167" s="6" t="s">
        <v>418</v>
      </c>
      <c r="K167" s="6" t="s">
        <v>419</v>
      </c>
      <c r="L167" s="6" t="s">
        <v>420</v>
      </c>
      <c r="M167" s="6" t="s">
        <v>421</v>
      </c>
      <c r="N167" s="6" t="s">
        <v>422</v>
      </c>
      <c r="O167" s="6" t="s">
        <v>112</v>
      </c>
      <c r="P167" s="6" t="s">
        <v>423</v>
      </c>
      <c r="Q167" s="6" t="s">
        <v>426</v>
      </c>
      <c r="R167" t="s">
        <v>112</v>
      </c>
      <c r="S167" t="s">
        <v>427</v>
      </c>
      <c r="T167"/>
      <c r="U167"/>
      <c r="V167" t="s">
        <v>116</v>
      </c>
      <c r="W167"/>
      <c r="X167"/>
      <c r="Y167" t="s">
        <v>116</v>
      </c>
      <c r="Z167"/>
      <c r="AA167"/>
      <c r="AB167" t="s">
        <v>116</v>
      </c>
      <c r="AC167"/>
      <c r="AD167"/>
      <c r="AE167" t="s">
        <v>116</v>
      </c>
      <c r="AF167" t="s">
        <v>117</v>
      </c>
      <c r="AG167" t="s">
        <v>118</v>
      </c>
      <c r="AH167" t="s">
        <v>119</v>
      </c>
      <c r="AI167" t="s">
        <v>120</v>
      </c>
      <c r="AJ167" t="s">
        <v>121</v>
      </c>
      <c r="AK167" t="s">
        <v>122</v>
      </c>
      <c r="AL167"/>
      <c r="AM167"/>
      <c r="AN167" t="s">
        <v>116</v>
      </c>
      <c r="AO167"/>
      <c r="AP167"/>
      <c r="AQ167" t="s">
        <v>116</v>
      </c>
      <c r="AR167"/>
      <c r="AS167"/>
      <c r="AT167" t="s">
        <v>116</v>
      </c>
      <c r="AU167"/>
      <c r="AV167"/>
      <c r="AW167" t="s">
        <v>116</v>
      </c>
      <c r="AX167"/>
      <c r="AY167"/>
      <c r="AZ167" t="s">
        <v>116</v>
      </c>
      <c r="BA167"/>
      <c r="BB167"/>
      <c r="BC167" t="s">
        <v>116</v>
      </c>
      <c r="BD167"/>
      <c r="BE167"/>
      <c r="BF167" t="s">
        <v>116</v>
      </c>
      <c r="BG167"/>
      <c r="BH167"/>
      <c r="BI167" t="s">
        <v>116</v>
      </c>
      <c r="BJ167"/>
      <c r="BK167"/>
      <c r="BL167" s="8">
        <v>3527.17</v>
      </c>
      <c r="BM167" s="8">
        <v>0</v>
      </c>
      <c r="BN167" s="8">
        <v>0</v>
      </c>
      <c r="BO167" s="8">
        <v>0</v>
      </c>
      <c r="BP167" s="8">
        <v>3527.17</v>
      </c>
      <c r="BQ167" s="8">
        <v>0</v>
      </c>
      <c r="BR167" s="8">
        <v>0</v>
      </c>
      <c r="BS167" s="8">
        <v>0</v>
      </c>
      <c r="BT167" s="8">
        <v>0</v>
      </c>
      <c r="BU167" s="8">
        <v>0</v>
      </c>
      <c r="BV167" s="8">
        <v>0</v>
      </c>
      <c r="BW167" s="8">
        <v>0</v>
      </c>
      <c r="BX167" s="8">
        <v>0</v>
      </c>
      <c r="BY167" t="s">
        <v>99</v>
      </c>
      <c r="BZ167" t="s">
        <v>123</v>
      </c>
      <c r="CA167"/>
      <c r="CB167"/>
      <c r="CC167"/>
      <c r="CD167"/>
      <c r="CE167"/>
      <c r="CF167"/>
      <c r="CG167"/>
      <c r="CH167"/>
      <c r="CI167"/>
      <c r="CJ167"/>
      <c r="CK167"/>
      <c r="CL167"/>
      <c r="CM167"/>
      <c r="CN167"/>
      <c r="CO167"/>
      <c r="CP167"/>
      <c r="CQ167"/>
      <c r="CR167"/>
      <c r="CS167"/>
      <c r="CT167"/>
      <c r="CU167"/>
      <c r="CV167"/>
      <c r="CW167"/>
      <c r="CX167"/>
      <c r="CY167"/>
      <c r="CZ167"/>
      <c r="DA167"/>
      <c r="DB167"/>
      <c r="DC167"/>
      <c r="DD167"/>
    </row>
    <row r="168" spans="1:108" x14ac:dyDescent="0.25">
      <c r="A168" t="s">
        <v>99</v>
      </c>
      <c r="B168" t="s">
        <v>100</v>
      </c>
      <c r="C168" t="s">
        <v>5</v>
      </c>
      <c r="D168" t="s">
        <v>101</v>
      </c>
      <c r="E168" t="s">
        <v>102</v>
      </c>
      <c r="F168" t="s">
        <v>103</v>
      </c>
      <c r="G168" t="s">
        <v>104</v>
      </c>
      <c r="H168" t="s">
        <v>416</v>
      </c>
      <c r="I168" s="6" t="s">
        <v>417</v>
      </c>
      <c r="J168" s="6" t="s">
        <v>418</v>
      </c>
      <c r="K168" s="6" t="s">
        <v>419</v>
      </c>
      <c r="L168" s="6" t="s">
        <v>420</v>
      </c>
      <c r="M168" s="6" t="s">
        <v>421</v>
      </c>
      <c r="N168" s="6" t="s">
        <v>422</v>
      </c>
      <c r="O168" s="6" t="s">
        <v>112</v>
      </c>
      <c r="P168" s="6" t="s">
        <v>423</v>
      </c>
      <c r="Q168" s="6" t="s">
        <v>426</v>
      </c>
      <c r="R168" t="s">
        <v>112</v>
      </c>
      <c r="S168" t="s">
        <v>427</v>
      </c>
      <c r="T168"/>
      <c r="U168"/>
      <c r="V168" t="s">
        <v>116</v>
      </c>
      <c r="W168"/>
      <c r="X168"/>
      <c r="Y168" t="s">
        <v>116</v>
      </c>
      <c r="Z168"/>
      <c r="AA168"/>
      <c r="AB168" t="s">
        <v>116</v>
      </c>
      <c r="AC168"/>
      <c r="AD168"/>
      <c r="AE168" t="s">
        <v>116</v>
      </c>
      <c r="AF168" t="s">
        <v>117</v>
      </c>
      <c r="AG168" t="s">
        <v>118</v>
      </c>
      <c r="AH168" t="s">
        <v>119</v>
      </c>
      <c r="AI168" t="s">
        <v>120</v>
      </c>
      <c r="AJ168" t="s">
        <v>121</v>
      </c>
      <c r="AK168" t="s">
        <v>122</v>
      </c>
      <c r="AL168" t="s">
        <v>399</v>
      </c>
      <c r="AM168" t="s">
        <v>400</v>
      </c>
      <c r="AN168" t="s">
        <v>401</v>
      </c>
      <c r="AO168"/>
      <c r="AP168"/>
      <c r="AQ168" t="s">
        <v>116</v>
      </c>
      <c r="AR168"/>
      <c r="AS168"/>
      <c r="AT168" t="s">
        <v>116</v>
      </c>
      <c r="AU168"/>
      <c r="AV168"/>
      <c r="AW168" t="s">
        <v>116</v>
      </c>
      <c r="AX168"/>
      <c r="AY168"/>
      <c r="AZ168" t="s">
        <v>116</v>
      </c>
      <c r="BA168"/>
      <c r="BB168"/>
      <c r="BC168" t="s">
        <v>116</v>
      </c>
      <c r="BD168"/>
      <c r="BE168"/>
      <c r="BF168" t="s">
        <v>116</v>
      </c>
      <c r="BG168"/>
      <c r="BH168"/>
      <c r="BI168" t="s">
        <v>116</v>
      </c>
      <c r="BJ168"/>
      <c r="BK168"/>
      <c r="BL168" s="8">
        <v>0</v>
      </c>
      <c r="BM168" s="8">
        <v>3527.17</v>
      </c>
      <c r="BN168" s="8">
        <v>3527.17</v>
      </c>
      <c r="BO168" s="8">
        <v>0</v>
      </c>
      <c r="BP168" s="8">
        <v>-3527.17</v>
      </c>
      <c r="BQ168" s="8">
        <v>0</v>
      </c>
      <c r="BR168" s="8">
        <v>0</v>
      </c>
      <c r="BS168" s="8">
        <v>0</v>
      </c>
      <c r="BT168" s="8">
        <v>0</v>
      </c>
      <c r="BU168" s="8">
        <v>0</v>
      </c>
      <c r="BV168" s="8">
        <v>0</v>
      </c>
      <c r="BW168" s="8">
        <v>0</v>
      </c>
      <c r="BX168" s="8">
        <v>0</v>
      </c>
      <c r="BY168" t="s">
        <v>99</v>
      </c>
      <c r="BZ168" t="s">
        <v>123</v>
      </c>
      <c r="CA168"/>
      <c r="CB168"/>
      <c r="CC168"/>
      <c r="CD168"/>
      <c r="CE168"/>
      <c r="CF168"/>
      <c r="CG168"/>
      <c r="CH168"/>
      <c r="CI168"/>
      <c r="CJ168"/>
      <c r="CK168"/>
      <c r="CL168"/>
      <c r="CM168"/>
      <c r="CN168"/>
      <c r="CO168"/>
      <c r="CP168"/>
      <c r="CQ168"/>
      <c r="CR168"/>
      <c r="CS168"/>
      <c r="CT168"/>
      <c r="CU168"/>
      <c r="CV168"/>
      <c r="CW168"/>
      <c r="CX168"/>
      <c r="CY168"/>
      <c r="CZ168"/>
      <c r="DA168"/>
      <c r="DB168"/>
      <c r="DC168"/>
      <c r="DD168"/>
    </row>
    <row r="169" spans="1:108" x14ac:dyDescent="0.25">
      <c r="A169" t="s">
        <v>99</v>
      </c>
      <c r="B169" t="s">
        <v>100</v>
      </c>
      <c r="C169" t="s">
        <v>5</v>
      </c>
      <c r="D169" t="s">
        <v>101</v>
      </c>
      <c r="E169" t="s">
        <v>102</v>
      </c>
      <c r="F169" t="s">
        <v>103</v>
      </c>
      <c r="G169" t="s">
        <v>104</v>
      </c>
      <c r="H169" t="s">
        <v>416</v>
      </c>
      <c r="I169" s="6" t="s">
        <v>417</v>
      </c>
      <c r="J169" s="6" t="s">
        <v>418</v>
      </c>
      <c r="K169" s="6" t="s">
        <v>419</v>
      </c>
      <c r="L169" s="6" t="s">
        <v>420</v>
      </c>
      <c r="M169" s="6" t="s">
        <v>421</v>
      </c>
      <c r="N169" s="6" t="s">
        <v>422</v>
      </c>
      <c r="O169" s="6" t="s">
        <v>112</v>
      </c>
      <c r="P169" s="6" t="s">
        <v>423</v>
      </c>
      <c r="Q169" s="6" t="s">
        <v>428</v>
      </c>
      <c r="R169" t="s">
        <v>112</v>
      </c>
      <c r="S169" t="s">
        <v>429</v>
      </c>
      <c r="T169"/>
      <c r="U169"/>
      <c r="V169" t="s">
        <v>116</v>
      </c>
      <c r="W169"/>
      <c r="X169"/>
      <c r="Y169" t="s">
        <v>116</v>
      </c>
      <c r="Z169"/>
      <c r="AA169"/>
      <c r="AB169" t="s">
        <v>116</v>
      </c>
      <c r="AC169"/>
      <c r="AD169"/>
      <c r="AE169" t="s">
        <v>116</v>
      </c>
      <c r="AF169" t="s">
        <v>117</v>
      </c>
      <c r="AG169" t="s">
        <v>118</v>
      </c>
      <c r="AH169" t="s">
        <v>119</v>
      </c>
      <c r="AI169" t="s">
        <v>120</v>
      </c>
      <c r="AJ169" t="s">
        <v>121</v>
      </c>
      <c r="AK169" t="s">
        <v>122</v>
      </c>
      <c r="AL169"/>
      <c r="AM169"/>
      <c r="AN169" t="s">
        <v>116</v>
      </c>
      <c r="AO169"/>
      <c r="AP169"/>
      <c r="AQ169" t="s">
        <v>116</v>
      </c>
      <c r="AR169"/>
      <c r="AS169"/>
      <c r="AT169" t="s">
        <v>116</v>
      </c>
      <c r="AU169"/>
      <c r="AV169"/>
      <c r="AW169" t="s">
        <v>116</v>
      </c>
      <c r="AX169"/>
      <c r="AY169"/>
      <c r="AZ169" t="s">
        <v>116</v>
      </c>
      <c r="BA169"/>
      <c r="BB169"/>
      <c r="BC169" t="s">
        <v>116</v>
      </c>
      <c r="BD169"/>
      <c r="BE169"/>
      <c r="BF169" t="s">
        <v>116</v>
      </c>
      <c r="BG169"/>
      <c r="BH169"/>
      <c r="BI169" t="s">
        <v>116</v>
      </c>
      <c r="BJ169"/>
      <c r="BK169"/>
      <c r="BL169" s="8">
        <v>6276.56</v>
      </c>
      <c r="BM169" s="8">
        <v>0</v>
      </c>
      <c r="BN169" s="8">
        <v>0</v>
      </c>
      <c r="BO169" s="8">
        <v>0</v>
      </c>
      <c r="BP169" s="8">
        <v>6276.56</v>
      </c>
      <c r="BQ169" s="8">
        <v>0</v>
      </c>
      <c r="BR169" s="8">
        <v>0</v>
      </c>
      <c r="BS169" s="8">
        <v>0</v>
      </c>
      <c r="BT169" s="8">
        <v>0</v>
      </c>
      <c r="BU169" s="8">
        <v>0</v>
      </c>
      <c r="BV169" s="8">
        <v>0</v>
      </c>
      <c r="BW169" s="8">
        <v>0</v>
      </c>
      <c r="BX169" s="8">
        <v>0</v>
      </c>
      <c r="BY169" t="s">
        <v>99</v>
      </c>
      <c r="BZ169" t="s">
        <v>123</v>
      </c>
      <c r="CA169"/>
      <c r="CB169"/>
      <c r="CC169"/>
      <c r="CD169"/>
      <c r="CE169"/>
      <c r="CF169"/>
      <c r="CG169"/>
      <c r="CH169"/>
      <c r="CI169"/>
      <c r="CJ169"/>
      <c r="CK169"/>
      <c r="CL169"/>
      <c r="CM169"/>
      <c r="CN169"/>
      <c r="CO169"/>
      <c r="CP169"/>
      <c r="CQ169"/>
      <c r="CR169"/>
      <c r="CS169"/>
      <c r="CT169"/>
      <c r="CU169"/>
      <c r="CV169"/>
      <c r="CW169"/>
      <c r="CX169"/>
      <c r="CY169"/>
      <c r="CZ169"/>
      <c r="DA169"/>
      <c r="DB169"/>
      <c r="DC169"/>
      <c r="DD169"/>
    </row>
    <row r="170" spans="1:108" x14ac:dyDescent="0.25">
      <c r="A170" t="s">
        <v>99</v>
      </c>
      <c r="B170" t="s">
        <v>100</v>
      </c>
      <c r="C170" t="s">
        <v>5</v>
      </c>
      <c r="D170" t="s">
        <v>101</v>
      </c>
      <c r="E170" t="s">
        <v>102</v>
      </c>
      <c r="F170" t="s">
        <v>103</v>
      </c>
      <c r="G170" t="s">
        <v>104</v>
      </c>
      <c r="H170" t="s">
        <v>416</v>
      </c>
      <c r="I170" s="6" t="s">
        <v>417</v>
      </c>
      <c r="J170" s="6" t="s">
        <v>418</v>
      </c>
      <c r="K170" s="6" t="s">
        <v>419</v>
      </c>
      <c r="L170" s="6" t="s">
        <v>420</v>
      </c>
      <c r="M170" s="6" t="s">
        <v>421</v>
      </c>
      <c r="N170" s="6" t="s">
        <v>422</v>
      </c>
      <c r="O170" s="6" t="s">
        <v>112</v>
      </c>
      <c r="P170" s="6" t="s">
        <v>423</v>
      </c>
      <c r="Q170" s="6" t="s">
        <v>428</v>
      </c>
      <c r="R170" t="s">
        <v>112</v>
      </c>
      <c r="S170" t="s">
        <v>429</v>
      </c>
      <c r="T170"/>
      <c r="U170"/>
      <c r="V170" t="s">
        <v>116</v>
      </c>
      <c r="W170"/>
      <c r="X170"/>
      <c r="Y170" t="s">
        <v>116</v>
      </c>
      <c r="Z170"/>
      <c r="AA170"/>
      <c r="AB170" t="s">
        <v>116</v>
      </c>
      <c r="AC170"/>
      <c r="AD170"/>
      <c r="AE170" t="s">
        <v>116</v>
      </c>
      <c r="AF170" t="s">
        <v>117</v>
      </c>
      <c r="AG170" t="s">
        <v>118</v>
      </c>
      <c r="AH170" t="s">
        <v>119</v>
      </c>
      <c r="AI170" t="s">
        <v>120</v>
      </c>
      <c r="AJ170" t="s">
        <v>121</v>
      </c>
      <c r="AK170" t="s">
        <v>122</v>
      </c>
      <c r="AL170" t="s">
        <v>404</v>
      </c>
      <c r="AM170" t="s">
        <v>405</v>
      </c>
      <c r="AN170" t="s">
        <v>406</v>
      </c>
      <c r="AO170"/>
      <c r="AP170"/>
      <c r="AQ170" t="s">
        <v>116</v>
      </c>
      <c r="AR170"/>
      <c r="AS170"/>
      <c r="AT170" t="s">
        <v>116</v>
      </c>
      <c r="AU170"/>
      <c r="AV170"/>
      <c r="AW170" t="s">
        <v>116</v>
      </c>
      <c r="AX170"/>
      <c r="AY170"/>
      <c r="AZ170" t="s">
        <v>116</v>
      </c>
      <c r="BA170"/>
      <c r="BB170"/>
      <c r="BC170" t="s">
        <v>116</v>
      </c>
      <c r="BD170"/>
      <c r="BE170"/>
      <c r="BF170" t="s">
        <v>116</v>
      </c>
      <c r="BG170"/>
      <c r="BH170"/>
      <c r="BI170" t="s">
        <v>116</v>
      </c>
      <c r="BJ170"/>
      <c r="BK170"/>
      <c r="BL170" s="8">
        <v>0</v>
      </c>
      <c r="BM170" s="8">
        <v>6276.56</v>
      </c>
      <c r="BN170" s="8">
        <v>6276.56</v>
      </c>
      <c r="BO170" s="8">
        <v>0</v>
      </c>
      <c r="BP170" s="8">
        <v>-6276.56</v>
      </c>
      <c r="BQ170" s="8">
        <v>0</v>
      </c>
      <c r="BR170" s="8">
        <v>0</v>
      </c>
      <c r="BS170" s="8">
        <v>0</v>
      </c>
      <c r="BT170" s="8">
        <v>0</v>
      </c>
      <c r="BU170" s="8">
        <v>0</v>
      </c>
      <c r="BV170" s="8">
        <v>0</v>
      </c>
      <c r="BW170" s="8">
        <v>0</v>
      </c>
      <c r="BX170" s="8">
        <v>0</v>
      </c>
      <c r="BY170" t="s">
        <v>99</v>
      </c>
      <c r="BZ170" t="s">
        <v>123</v>
      </c>
      <c r="CA170"/>
      <c r="CB170"/>
      <c r="CC170"/>
      <c r="CD170"/>
      <c r="CE170"/>
      <c r="CF170"/>
      <c r="CG170"/>
      <c r="CH170"/>
      <c r="CI170"/>
      <c r="CJ170"/>
      <c r="CK170"/>
      <c r="CL170"/>
      <c r="CM170"/>
      <c r="CN170"/>
      <c r="CO170"/>
      <c r="CP170"/>
      <c r="CQ170"/>
      <c r="CR170"/>
      <c r="CS170"/>
      <c r="CT170"/>
      <c r="CU170"/>
      <c r="CV170"/>
      <c r="CW170"/>
      <c r="CX170"/>
      <c r="CY170"/>
      <c r="CZ170"/>
      <c r="DA170"/>
      <c r="DB170"/>
      <c r="DC170"/>
      <c r="DD170"/>
    </row>
    <row r="171" spans="1:108" x14ac:dyDescent="0.25">
      <c r="A171" t="s">
        <v>99</v>
      </c>
      <c r="B171" t="s">
        <v>100</v>
      </c>
      <c r="C171" t="s">
        <v>5</v>
      </c>
      <c r="D171" t="s">
        <v>101</v>
      </c>
      <c r="E171" t="s">
        <v>102</v>
      </c>
      <c r="F171" t="s">
        <v>103</v>
      </c>
      <c r="G171" t="s">
        <v>104</v>
      </c>
      <c r="H171" t="s">
        <v>416</v>
      </c>
      <c r="I171" s="6" t="s">
        <v>417</v>
      </c>
      <c r="J171" s="6" t="s">
        <v>418</v>
      </c>
      <c r="K171" s="6" t="s">
        <v>419</v>
      </c>
      <c r="L171" s="6" t="s">
        <v>420</v>
      </c>
      <c r="M171" s="6" t="s">
        <v>421</v>
      </c>
      <c r="N171" s="6" t="s">
        <v>422</v>
      </c>
      <c r="O171" s="6" t="s">
        <v>112</v>
      </c>
      <c r="P171" s="6" t="s">
        <v>423</v>
      </c>
      <c r="Q171" s="6" t="s">
        <v>430</v>
      </c>
      <c r="R171" t="s">
        <v>112</v>
      </c>
      <c r="S171" t="s">
        <v>431</v>
      </c>
      <c r="T171"/>
      <c r="U171"/>
      <c r="V171" t="s">
        <v>116</v>
      </c>
      <c r="W171"/>
      <c r="X171"/>
      <c r="Y171" t="s">
        <v>116</v>
      </c>
      <c r="Z171"/>
      <c r="AA171"/>
      <c r="AB171" t="s">
        <v>116</v>
      </c>
      <c r="AC171"/>
      <c r="AD171"/>
      <c r="AE171" t="s">
        <v>116</v>
      </c>
      <c r="AF171" t="s">
        <v>117</v>
      </c>
      <c r="AG171" t="s">
        <v>118</v>
      </c>
      <c r="AH171" t="s">
        <v>119</v>
      </c>
      <c r="AI171" t="s">
        <v>120</v>
      </c>
      <c r="AJ171" t="s">
        <v>121</v>
      </c>
      <c r="AK171" t="s">
        <v>122</v>
      </c>
      <c r="AL171"/>
      <c r="AM171"/>
      <c r="AN171" t="s">
        <v>116</v>
      </c>
      <c r="AO171"/>
      <c r="AP171"/>
      <c r="AQ171" t="s">
        <v>116</v>
      </c>
      <c r="AR171"/>
      <c r="AS171"/>
      <c r="AT171" t="s">
        <v>116</v>
      </c>
      <c r="AU171"/>
      <c r="AV171"/>
      <c r="AW171" t="s">
        <v>116</v>
      </c>
      <c r="AX171"/>
      <c r="AY171"/>
      <c r="AZ171" t="s">
        <v>116</v>
      </c>
      <c r="BA171"/>
      <c r="BB171"/>
      <c r="BC171" t="s">
        <v>116</v>
      </c>
      <c r="BD171"/>
      <c r="BE171"/>
      <c r="BF171" t="s">
        <v>116</v>
      </c>
      <c r="BG171"/>
      <c r="BH171"/>
      <c r="BI171" t="s">
        <v>116</v>
      </c>
      <c r="BJ171"/>
      <c r="BK171"/>
      <c r="BL171" s="8">
        <v>2250.92</v>
      </c>
      <c r="BM171" s="8">
        <v>0</v>
      </c>
      <c r="BN171" s="8">
        <v>0</v>
      </c>
      <c r="BO171" s="8">
        <v>0</v>
      </c>
      <c r="BP171" s="8">
        <v>2250.92</v>
      </c>
      <c r="BQ171" s="8">
        <v>0</v>
      </c>
      <c r="BR171" s="8">
        <v>0</v>
      </c>
      <c r="BS171" s="8">
        <v>0</v>
      </c>
      <c r="BT171" s="8">
        <v>0</v>
      </c>
      <c r="BU171" s="8">
        <v>0</v>
      </c>
      <c r="BV171" s="8">
        <v>0</v>
      </c>
      <c r="BW171" s="8">
        <v>0</v>
      </c>
      <c r="BX171" s="8">
        <v>0</v>
      </c>
      <c r="BY171" t="s">
        <v>99</v>
      </c>
      <c r="BZ171" t="s">
        <v>123</v>
      </c>
      <c r="CA171"/>
      <c r="CB171"/>
      <c r="CC171"/>
      <c r="CD171"/>
      <c r="CE171"/>
      <c r="CF171"/>
      <c r="CG171"/>
      <c r="CH171"/>
      <c r="CI171"/>
      <c r="CJ171"/>
      <c r="CK171"/>
      <c r="CL171"/>
      <c r="CM171"/>
      <c r="CN171"/>
      <c r="CO171"/>
      <c r="CP171"/>
      <c r="CQ171"/>
      <c r="CR171"/>
      <c r="CS171"/>
      <c r="CT171"/>
      <c r="CU171"/>
      <c r="CV171"/>
      <c r="CW171"/>
      <c r="CX171"/>
      <c r="CY171"/>
      <c r="CZ171"/>
      <c r="DA171"/>
      <c r="DB171"/>
      <c r="DC171"/>
      <c r="DD171"/>
    </row>
    <row r="172" spans="1:108" x14ac:dyDescent="0.25">
      <c r="A172" t="s">
        <v>99</v>
      </c>
      <c r="B172" t="s">
        <v>100</v>
      </c>
      <c r="C172" t="s">
        <v>5</v>
      </c>
      <c r="D172" t="s">
        <v>101</v>
      </c>
      <c r="E172" t="s">
        <v>102</v>
      </c>
      <c r="F172" t="s">
        <v>103</v>
      </c>
      <c r="G172" t="s">
        <v>104</v>
      </c>
      <c r="H172" t="s">
        <v>416</v>
      </c>
      <c r="I172" s="6" t="s">
        <v>417</v>
      </c>
      <c r="J172" s="6" t="s">
        <v>418</v>
      </c>
      <c r="K172" s="6" t="s">
        <v>419</v>
      </c>
      <c r="L172" s="6" t="s">
        <v>420</v>
      </c>
      <c r="M172" s="6" t="s">
        <v>421</v>
      </c>
      <c r="N172" s="6" t="s">
        <v>422</v>
      </c>
      <c r="O172" s="6" t="s">
        <v>112</v>
      </c>
      <c r="P172" s="6" t="s">
        <v>423</v>
      </c>
      <c r="Q172" s="6" t="s">
        <v>430</v>
      </c>
      <c r="R172" t="s">
        <v>112</v>
      </c>
      <c r="S172" t="s">
        <v>431</v>
      </c>
      <c r="T172"/>
      <c r="U172"/>
      <c r="V172" t="s">
        <v>116</v>
      </c>
      <c r="W172"/>
      <c r="X172"/>
      <c r="Y172" t="s">
        <v>116</v>
      </c>
      <c r="Z172"/>
      <c r="AA172"/>
      <c r="AB172" t="s">
        <v>116</v>
      </c>
      <c r="AC172"/>
      <c r="AD172"/>
      <c r="AE172" t="s">
        <v>116</v>
      </c>
      <c r="AF172" t="s">
        <v>117</v>
      </c>
      <c r="AG172" t="s">
        <v>118</v>
      </c>
      <c r="AH172" t="s">
        <v>119</v>
      </c>
      <c r="AI172" t="s">
        <v>120</v>
      </c>
      <c r="AJ172" t="s">
        <v>121</v>
      </c>
      <c r="AK172" t="s">
        <v>122</v>
      </c>
      <c r="AL172" t="s">
        <v>164</v>
      </c>
      <c r="AM172" t="s">
        <v>165</v>
      </c>
      <c r="AN172" t="s">
        <v>166</v>
      </c>
      <c r="AO172"/>
      <c r="AP172"/>
      <c r="AQ172" t="s">
        <v>116</v>
      </c>
      <c r="AR172"/>
      <c r="AS172"/>
      <c r="AT172" t="s">
        <v>116</v>
      </c>
      <c r="AU172"/>
      <c r="AV172"/>
      <c r="AW172" t="s">
        <v>116</v>
      </c>
      <c r="AX172"/>
      <c r="AY172"/>
      <c r="AZ172" t="s">
        <v>116</v>
      </c>
      <c r="BA172"/>
      <c r="BB172"/>
      <c r="BC172" t="s">
        <v>116</v>
      </c>
      <c r="BD172"/>
      <c r="BE172"/>
      <c r="BF172" t="s">
        <v>116</v>
      </c>
      <c r="BG172"/>
      <c r="BH172"/>
      <c r="BI172" t="s">
        <v>116</v>
      </c>
      <c r="BJ172"/>
      <c r="BK172"/>
      <c r="BL172" s="8">
        <v>0</v>
      </c>
      <c r="BM172" s="8">
        <v>2250.92</v>
      </c>
      <c r="BN172" s="8">
        <v>2250.92</v>
      </c>
      <c r="BO172" s="8">
        <v>0</v>
      </c>
      <c r="BP172" s="8">
        <v>-2250.92</v>
      </c>
      <c r="BQ172" s="8">
        <v>0</v>
      </c>
      <c r="BR172" s="8">
        <v>0</v>
      </c>
      <c r="BS172" s="8">
        <v>0</v>
      </c>
      <c r="BT172" s="8">
        <v>0</v>
      </c>
      <c r="BU172" s="8">
        <v>0</v>
      </c>
      <c r="BV172" s="8">
        <v>0</v>
      </c>
      <c r="BW172" s="8">
        <v>0</v>
      </c>
      <c r="BX172" s="8">
        <v>0</v>
      </c>
      <c r="BY172" t="s">
        <v>99</v>
      </c>
      <c r="BZ172" t="s">
        <v>123</v>
      </c>
      <c r="CA172"/>
      <c r="CB172"/>
      <c r="CC172"/>
      <c r="CD172"/>
      <c r="CE172"/>
      <c r="CF172"/>
      <c r="CG172"/>
      <c r="CH172"/>
      <c r="CI172"/>
      <c r="CJ172"/>
      <c r="CK172"/>
      <c r="CL172"/>
      <c r="CM172"/>
      <c r="CN172"/>
      <c r="CO172"/>
      <c r="CP172"/>
      <c r="CQ172"/>
      <c r="CR172"/>
      <c r="CS172"/>
      <c r="CT172"/>
      <c r="CU172"/>
      <c r="CV172"/>
      <c r="CW172"/>
      <c r="CX172"/>
      <c r="CY172"/>
      <c r="CZ172"/>
      <c r="DA172"/>
      <c r="DB172"/>
      <c r="DC172"/>
      <c r="DD172"/>
    </row>
    <row r="173" spans="1:108" x14ac:dyDescent="0.25">
      <c r="A173" t="s">
        <v>99</v>
      </c>
      <c r="B173" t="s">
        <v>100</v>
      </c>
      <c r="C173" t="s">
        <v>5</v>
      </c>
      <c r="D173" t="s">
        <v>101</v>
      </c>
      <c r="E173" t="s">
        <v>102</v>
      </c>
      <c r="F173" t="s">
        <v>103</v>
      </c>
      <c r="G173" t="s">
        <v>104</v>
      </c>
      <c r="H173" t="s">
        <v>416</v>
      </c>
      <c r="I173" s="6" t="s">
        <v>417</v>
      </c>
      <c r="J173" s="6" t="s">
        <v>418</v>
      </c>
      <c r="K173" s="6" t="s">
        <v>419</v>
      </c>
      <c r="L173" s="6" t="s">
        <v>420</v>
      </c>
      <c r="M173" s="6" t="s">
        <v>421</v>
      </c>
      <c r="N173" s="6" t="s">
        <v>422</v>
      </c>
      <c r="O173" s="6" t="s">
        <v>112</v>
      </c>
      <c r="P173" s="6" t="s">
        <v>423</v>
      </c>
      <c r="Q173" s="6" t="s">
        <v>432</v>
      </c>
      <c r="R173" t="s">
        <v>112</v>
      </c>
      <c r="S173" t="s">
        <v>433</v>
      </c>
      <c r="T173"/>
      <c r="U173"/>
      <c r="V173" t="s">
        <v>116</v>
      </c>
      <c r="W173"/>
      <c r="X173"/>
      <c r="Y173" t="s">
        <v>116</v>
      </c>
      <c r="Z173"/>
      <c r="AA173"/>
      <c r="AB173" t="s">
        <v>116</v>
      </c>
      <c r="AC173"/>
      <c r="AD173"/>
      <c r="AE173" t="s">
        <v>116</v>
      </c>
      <c r="AF173" t="s">
        <v>117</v>
      </c>
      <c r="AG173" t="s">
        <v>118</v>
      </c>
      <c r="AH173" t="s">
        <v>119</v>
      </c>
      <c r="AI173" t="s">
        <v>120</v>
      </c>
      <c r="AJ173" t="s">
        <v>121</v>
      </c>
      <c r="AK173" t="s">
        <v>122</v>
      </c>
      <c r="AL173"/>
      <c r="AM173"/>
      <c r="AN173" t="s">
        <v>116</v>
      </c>
      <c r="AO173"/>
      <c r="AP173"/>
      <c r="AQ173" t="s">
        <v>116</v>
      </c>
      <c r="AR173"/>
      <c r="AS173"/>
      <c r="AT173" t="s">
        <v>116</v>
      </c>
      <c r="AU173"/>
      <c r="AV173"/>
      <c r="AW173" t="s">
        <v>116</v>
      </c>
      <c r="AX173"/>
      <c r="AY173"/>
      <c r="AZ173" t="s">
        <v>116</v>
      </c>
      <c r="BA173"/>
      <c r="BB173"/>
      <c r="BC173" t="s">
        <v>116</v>
      </c>
      <c r="BD173"/>
      <c r="BE173"/>
      <c r="BF173" t="s">
        <v>116</v>
      </c>
      <c r="BG173"/>
      <c r="BH173"/>
      <c r="BI173" t="s">
        <v>116</v>
      </c>
      <c r="BJ173"/>
      <c r="BK173"/>
      <c r="BL173" s="8">
        <v>4049.8</v>
      </c>
      <c r="BM173" s="8">
        <v>0</v>
      </c>
      <c r="BN173" s="8">
        <v>0</v>
      </c>
      <c r="BO173" s="8">
        <v>0</v>
      </c>
      <c r="BP173" s="8">
        <v>4049.8</v>
      </c>
      <c r="BQ173" s="8">
        <v>0</v>
      </c>
      <c r="BR173" s="8">
        <v>0</v>
      </c>
      <c r="BS173" s="8">
        <v>0</v>
      </c>
      <c r="BT173" s="8">
        <v>0</v>
      </c>
      <c r="BU173" s="8">
        <v>0</v>
      </c>
      <c r="BV173" s="8">
        <v>0</v>
      </c>
      <c r="BW173" s="8">
        <v>0</v>
      </c>
      <c r="BX173" s="8">
        <v>0</v>
      </c>
      <c r="BY173" t="s">
        <v>99</v>
      </c>
      <c r="BZ173" t="s">
        <v>123</v>
      </c>
      <c r="CA173"/>
      <c r="CB173"/>
      <c r="CC173"/>
      <c r="CD173"/>
      <c r="CE173"/>
      <c r="CF173"/>
      <c r="CG173"/>
      <c r="CH173"/>
      <c r="CI173"/>
      <c r="CJ173"/>
      <c r="CK173"/>
      <c r="CL173"/>
      <c r="CM173"/>
      <c r="CN173"/>
      <c r="CO173"/>
      <c r="CP173"/>
      <c r="CQ173"/>
      <c r="CR173"/>
      <c r="CS173"/>
      <c r="CT173"/>
      <c r="CU173"/>
      <c r="CV173"/>
      <c r="CW173"/>
      <c r="CX173"/>
      <c r="CY173"/>
      <c r="CZ173"/>
      <c r="DA173"/>
      <c r="DB173"/>
      <c r="DC173"/>
      <c r="DD173"/>
    </row>
    <row r="174" spans="1:108" x14ac:dyDescent="0.25">
      <c r="A174" t="s">
        <v>99</v>
      </c>
      <c r="B174" t="s">
        <v>100</v>
      </c>
      <c r="C174" t="s">
        <v>5</v>
      </c>
      <c r="D174" t="s">
        <v>101</v>
      </c>
      <c r="E174" t="s">
        <v>102</v>
      </c>
      <c r="F174" t="s">
        <v>103</v>
      </c>
      <c r="G174" t="s">
        <v>104</v>
      </c>
      <c r="H174" t="s">
        <v>416</v>
      </c>
      <c r="I174" s="6" t="s">
        <v>417</v>
      </c>
      <c r="J174" s="6" t="s">
        <v>418</v>
      </c>
      <c r="K174" s="6" t="s">
        <v>419</v>
      </c>
      <c r="L174" s="6" t="s">
        <v>420</v>
      </c>
      <c r="M174" s="6" t="s">
        <v>421</v>
      </c>
      <c r="N174" s="6" t="s">
        <v>422</v>
      </c>
      <c r="O174" s="6" t="s">
        <v>112</v>
      </c>
      <c r="P174" s="6" t="s">
        <v>423</v>
      </c>
      <c r="Q174" s="6" t="s">
        <v>432</v>
      </c>
      <c r="R174" t="s">
        <v>112</v>
      </c>
      <c r="S174" t="s">
        <v>433</v>
      </c>
      <c r="T174"/>
      <c r="U174"/>
      <c r="V174" t="s">
        <v>116</v>
      </c>
      <c r="W174"/>
      <c r="X174"/>
      <c r="Y174" t="s">
        <v>116</v>
      </c>
      <c r="Z174"/>
      <c r="AA174"/>
      <c r="AB174" t="s">
        <v>116</v>
      </c>
      <c r="AC174"/>
      <c r="AD174"/>
      <c r="AE174" t="s">
        <v>116</v>
      </c>
      <c r="AF174" t="s">
        <v>117</v>
      </c>
      <c r="AG174" t="s">
        <v>118</v>
      </c>
      <c r="AH174" t="s">
        <v>119</v>
      </c>
      <c r="AI174" t="s">
        <v>120</v>
      </c>
      <c r="AJ174" t="s">
        <v>121</v>
      </c>
      <c r="AK174" t="s">
        <v>122</v>
      </c>
      <c r="AL174" t="s">
        <v>353</v>
      </c>
      <c r="AM174" t="s">
        <v>354</v>
      </c>
      <c r="AN174" t="s">
        <v>355</v>
      </c>
      <c r="AO174"/>
      <c r="AP174"/>
      <c r="AQ174" t="s">
        <v>116</v>
      </c>
      <c r="AR174"/>
      <c r="AS174"/>
      <c r="AT174" t="s">
        <v>116</v>
      </c>
      <c r="AU174"/>
      <c r="AV174"/>
      <c r="AW174" t="s">
        <v>116</v>
      </c>
      <c r="AX174"/>
      <c r="AY174"/>
      <c r="AZ174" t="s">
        <v>116</v>
      </c>
      <c r="BA174"/>
      <c r="BB174"/>
      <c r="BC174" t="s">
        <v>116</v>
      </c>
      <c r="BD174"/>
      <c r="BE174"/>
      <c r="BF174" t="s">
        <v>116</v>
      </c>
      <c r="BG174"/>
      <c r="BH174"/>
      <c r="BI174" t="s">
        <v>116</v>
      </c>
      <c r="BJ174"/>
      <c r="BK174"/>
      <c r="BL174" s="8">
        <v>0</v>
      </c>
      <c r="BM174" s="8">
        <v>349.8</v>
      </c>
      <c r="BN174" s="8">
        <v>349.8</v>
      </c>
      <c r="BO174" s="8">
        <v>0</v>
      </c>
      <c r="BP174" s="8">
        <v>-349.8</v>
      </c>
      <c r="BQ174" s="8">
        <v>0</v>
      </c>
      <c r="BR174" s="8">
        <v>0</v>
      </c>
      <c r="BS174" s="8">
        <v>0</v>
      </c>
      <c r="BT174" s="8">
        <v>0</v>
      </c>
      <c r="BU174" s="8">
        <v>0</v>
      </c>
      <c r="BV174" s="8">
        <v>0</v>
      </c>
      <c r="BW174" s="8">
        <v>0</v>
      </c>
      <c r="BX174" s="8">
        <v>0</v>
      </c>
      <c r="BY174" t="s">
        <v>99</v>
      </c>
      <c r="BZ174" t="s">
        <v>123</v>
      </c>
      <c r="CA174"/>
      <c r="CB174"/>
      <c r="CC174"/>
      <c r="CD174"/>
      <c r="CE174"/>
      <c r="CF174"/>
      <c r="CG174"/>
      <c r="CH174"/>
      <c r="CI174"/>
      <c r="CJ174"/>
      <c r="CK174"/>
      <c r="CL174"/>
      <c r="CM174"/>
      <c r="CN174"/>
      <c r="CO174"/>
      <c r="CP174"/>
      <c r="CQ174"/>
      <c r="CR174"/>
      <c r="CS174"/>
      <c r="CT174"/>
      <c r="CU174"/>
      <c r="CV174"/>
      <c r="CW174"/>
      <c r="CX174"/>
      <c r="CY174"/>
      <c r="CZ174"/>
      <c r="DA174"/>
      <c r="DB174"/>
      <c r="DC174"/>
      <c r="DD174"/>
    </row>
    <row r="175" spans="1:108" x14ac:dyDescent="0.25">
      <c r="A175" t="s">
        <v>99</v>
      </c>
      <c r="B175" t="s">
        <v>100</v>
      </c>
      <c r="C175" t="s">
        <v>5</v>
      </c>
      <c r="D175" t="s">
        <v>101</v>
      </c>
      <c r="E175" t="s">
        <v>102</v>
      </c>
      <c r="F175" t="s">
        <v>103</v>
      </c>
      <c r="G175" t="s">
        <v>104</v>
      </c>
      <c r="H175" t="s">
        <v>416</v>
      </c>
      <c r="I175" s="6" t="s">
        <v>417</v>
      </c>
      <c r="J175" s="6" t="s">
        <v>418</v>
      </c>
      <c r="K175" s="6" t="s">
        <v>419</v>
      </c>
      <c r="L175" s="6" t="s">
        <v>420</v>
      </c>
      <c r="M175" s="6" t="s">
        <v>421</v>
      </c>
      <c r="N175" s="6" t="s">
        <v>422</v>
      </c>
      <c r="O175" s="6" t="s">
        <v>112</v>
      </c>
      <c r="P175" s="6" t="s">
        <v>423</v>
      </c>
      <c r="Q175" s="6" t="s">
        <v>432</v>
      </c>
      <c r="R175" t="s">
        <v>112</v>
      </c>
      <c r="S175" t="s">
        <v>433</v>
      </c>
      <c r="T175"/>
      <c r="U175"/>
      <c r="V175" t="s">
        <v>116</v>
      </c>
      <c r="W175"/>
      <c r="X175"/>
      <c r="Y175" t="s">
        <v>116</v>
      </c>
      <c r="Z175"/>
      <c r="AA175"/>
      <c r="AB175" t="s">
        <v>116</v>
      </c>
      <c r="AC175"/>
      <c r="AD175"/>
      <c r="AE175" t="s">
        <v>116</v>
      </c>
      <c r="AF175" t="s">
        <v>117</v>
      </c>
      <c r="AG175" t="s">
        <v>118</v>
      </c>
      <c r="AH175" t="s">
        <v>119</v>
      </c>
      <c r="AI175" t="s">
        <v>120</v>
      </c>
      <c r="AJ175" t="s">
        <v>121</v>
      </c>
      <c r="AK175" t="s">
        <v>122</v>
      </c>
      <c r="AL175" t="s">
        <v>164</v>
      </c>
      <c r="AM175" t="s">
        <v>165</v>
      </c>
      <c r="AN175" t="s">
        <v>166</v>
      </c>
      <c r="AO175"/>
      <c r="AP175"/>
      <c r="AQ175" t="s">
        <v>116</v>
      </c>
      <c r="AR175"/>
      <c r="AS175"/>
      <c r="AT175" t="s">
        <v>116</v>
      </c>
      <c r="AU175"/>
      <c r="AV175"/>
      <c r="AW175" t="s">
        <v>116</v>
      </c>
      <c r="AX175"/>
      <c r="AY175"/>
      <c r="AZ175" t="s">
        <v>116</v>
      </c>
      <c r="BA175"/>
      <c r="BB175"/>
      <c r="BC175" t="s">
        <v>116</v>
      </c>
      <c r="BD175"/>
      <c r="BE175"/>
      <c r="BF175" t="s">
        <v>116</v>
      </c>
      <c r="BG175"/>
      <c r="BH175"/>
      <c r="BI175" t="s">
        <v>116</v>
      </c>
      <c r="BJ175"/>
      <c r="BK175"/>
      <c r="BL175" s="8">
        <v>0</v>
      </c>
      <c r="BM175" s="8">
        <v>3700</v>
      </c>
      <c r="BN175" s="8">
        <v>3700</v>
      </c>
      <c r="BO175" s="8">
        <v>0</v>
      </c>
      <c r="BP175" s="8">
        <v>-3700</v>
      </c>
      <c r="BQ175" s="8">
        <v>0</v>
      </c>
      <c r="BR175" s="8">
        <v>0</v>
      </c>
      <c r="BS175" s="8">
        <v>0</v>
      </c>
      <c r="BT175" s="8">
        <v>0</v>
      </c>
      <c r="BU175" s="8">
        <v>0</v>
      </c>
      <c r="BV175" s="8">
        <v>0</v>
      </c>
      <c r="BW175" s="8">
        <v>0</v>
      </c>
      <c r="BX175" s="8">
        <v>0</v>
      </c>
      <c r="BY175" t="s">
        <v>99</v>
      </c>
      <c r="BZ175" t="s">
        <v>123</v>
      </c>
      <c r="CA175"/>
      <c r="CB175"/>
      <c r="CC175"/>
      <c r="CD175"/>
      <c r="CE175"/>
      <c r="CF175"/>
      <c r="CG175"/>
      <c r="CH175"/>
      <c r="CI175"/>
      <c r="CJ175"/>
      <c r="CK175"/>
      <c r="CL175"/>
      <c r="CM175"/>
      <c r="CN175"/>
      <c r="CO175"/>
      <c r="CP175"/>
      <c r="CQ175"/>
      <c r="CR175"/>
      <c r="CS175"/>
      <c r="CT175"/>
      <c r="CU175"/>
      <c r="CV175"/>
      <c r="CW175"/>
      <c r="CX175"/>
      <c r="CY175"/>
      <c r="CZ175"/>
      <c r="DA175"/>
      <c r="DB175"/>
      <c r="DC175"/>
      <c r="DD175"/>
    </row>
    <row r="176" spans="1:108" x14ac:dyDescent="0.25">
      <c r="A176" t="s">
        <v>99</v>
      </c>
      <c r="B176" t="s">
        <v>100</v>
      </c>
      <c r="C176" t="s">
        <v>5</v>
      </c>
      <c r="D176" t="s">
        <v>101</v>
      </c>
      <c r="E176" t="s">
        <v>102</v>
      </c>
      <c r="F176" t="s">
        <v>103</v>
      </c>
      <c r="G176" t="s">
        <v>104</v>
      </c>
      <c r="H176" t="s">
        <v>416</v>
      </c>
      <c r="I176" s="6" t="s">
        <v>417</v>
      </c>
      <c r="J176" s="6" t="s">
        <v>418</v>
      </c>
      <c r="K176" s="6" t="s">
        <v>419</v>
      </c>
      <c r="L176" s="6" t="s">
        <v>420</v>
      </c>
      <c r="M176" s="6" t="s">
        <v>421</v>
      </c>
      <c r="N176" s="6" t="s">
        <v>422</v>
      </c>
      <c r="O176" s="6" t="s">
        <v>112</v>
      </c>
      <c r="P176" s="6" t="s">
        <v>423</v>
      </c>
      <c r="Q176" s="6" t="s">
        <v>434</v>
      </c>
      <c r="R176" t="s">
        <v>112</v>
      </c>
      <c r="S176" t="s">
        <v>435</v>
      </c>
      <c r="T176"/>
      <c r="U176"/>
      <c r="V176" t="s">
        <v>116</v>
      </c>
      <c r="W176"/>
      <c r="X176"/>
      <c r="Y176" t="s">
        <v>116</v>
      </c>
      <c r="Z176"/>
      <c r="AA176"/>
      <c r="AB176" t="s">
        <v>116</v>
      </c>
      <c r="AC176"/>
      <c r="AD176"/>
      <c r="AE176" t="s">
        <v>116</v>
      </c>
      <c r="AF176" t="s">
        <v>117</v>
      </c>
      <c r="AG176" t="s">
        <v>118</v>
      </c>
      <c r="AH176" t="s">
        <v>119</v>
      </c>
      <c r="AI176" t="s">
        <v>120</v>
      </c>
      <c r="AJ176" t="s">
        <v>121</v>
      </c>
      <c r="AK176" t="s">
        <v>122</v>
      </c>
      <c r="AL176"/>
      <c r="AM176"/>
      <c r="AN176" t="s">
        <v>116</v>
      </c>
      <c r="AO176"/>
      <c r="AP176"/>
      <c r="AQ176" t="s">
        <v>116</v>
      </c>
      <c r="AR176"/>
      <c r="AS176"/>
      <c r="AT176" t="s">
        <v>116</v>
      </c>
      <c r="AU176"/>
      <c r="AV176"/>
      <c r="AW176" t="s">
        <v>116</v>
      </c>
      <c r="AX176"/>
      <c r="AY176"/>
      <c r="AZ176" t="s">
        <v>116</v>
      </c>
      <c r="BA176"/>
      <c r="BB176"/>
      <c r="BC176" t="s">
        <v>116</v>
      </c>
      <c r="BD176"/>
      <c r="BE176"/>
      <c r="BF176" t="s">
        <v>116</v>
      </c>
      <c r="BG176"/>
      <c r="BH176"/>
      <c r="BI176" t="s">
        <v>116</v>
      </c>
      <c r="BJ176"/>
      <c r="BK176"/>
      <c r="BL176" s="8">
        <v>1560.66</v>
      </c>
      <c r="BM176" s="8">
        <v>0</v>
      </c>
      <c r="BN176" s="8">
        <v>0</v>
      </c>
      <c r="BO176" s="8">
        <v>0</v>
      </c>
      <c r="BP176" s="8">
        <v>1560.66</v>
      </c>
      <c r="BQ176" s="8">
        <v>0</v>
      </c>
      <c r="BR176" s="8">
        <v>0</v>
      </c>
      <c r="BS176" s="8">
        <v>0</v>
      </c>
      <c r="BT176" s="8">
        <v>0</v>
      </c>
      <c r="BU176" s="8">
        <v>0</v>
      </c>
      <c r="BV176" s="8">
        <v>0</v>
      </c>
      <c r="BW176" s="8">
        <v>0</v>
      </c>
      <c r="BX176" s="8">
        <v>0</v>
      </c>
      <c r="BY176" t="s">
        <v>99</v>
      </c>
      <c r="BZ176" t="s">
        <v>123</v>
      </c>
      <c r="CA176"/>
      <c r="CB176"/>
      <c r="CC176"/>
      <c r="CD176"/>
      <c r="CE176"/>
      <c r="CF176"/>
      <c r="CG176"/>
      <c r="CH176"/>
      <c r="CI176"/>
      <c r="CJ176"/>
      <c r="CK176"/>
      <c r="CL176"/>
      <c r="CM176"/>
      <c r="CN176"/>
      <c r="CO176"/>
      <c r="CP176"/>
      <c r="CQ176"/>
      <c r="CR176"/>
      <c r="CS176"/>
      <c r="CT176"/>
      <c r="CU176"/>
      <c r="CV176"/>
      <c r="CW176"/>
      <c r="CX176"/>
      <c r="CY176"/>
      <c r="CZ176"/>
      <c r="DA176"/>
      <c r="DB176"/>
      <c r="DC176"/>
      <c r="DD176"/>
    </row>
    <row r="177" spans="1:108" x14ac:dyDescent="0.25">
      <c r="A177" t="s">
        <v>99</v>
      </c>
      <c r="B177" t="s">
        <v>100</v>
      </c>
      <c r="C177" t="s">
        <v>5</v>
      </c>
      <c r="D177" t="s">
        <v>101</v>
      </c>
      <c r="E177" t="s">
        <v>102</v>
      </c>
      <c r="F177" t="s">
        <v>103</v>
      </c>
      <c r="G177" t="s">
        <v>104</v>
      </c>
      <c r="H177" t="s">
        <v>416</v>
      </c>
      <c r="I177" s="6" t="s">
        <v>417</v>
      </c>
      <c r="J177" s="6" t="s">
        <v>418</v>
      </c>
      <c r="K177" s="6" t="s">
        <v>419</v>
      </c>
      <c r="L177" s="6" t="s">
        <v>420</v>
      </c>
      <c r="M177" s="6" t="s">
        <v>421</v>
      </c>
      <c r="N177" s="6" t="s">
        <v>422</v>
      </c>
      <c r="O177" s="6" t="s">
        <v>112</v>
      </c>
      <c r="P177" s="6" t="s">
        <v>423</v>
      </c>
      <c r="Q177" s="6" t="s">
        <v>434</v>
      </c>
      <c r="R177" t="s">
        <v>112</v>
      </c>
      <c r="S177" t="s">
        <v>435</v>
      </c>
      <c r="T177"/>
      <c r="U177"/>
      <c r="V177" t="s">
        <v>116</v>
      </c>
      <c r="W177"/>
      <c r="X177"/>
      <c r="Y177" t="s">
        <v>116</v>
      </c>
      <c r="Z177"/>
      <c r="AA177"/>
      <c r="AB177" t="s">
        <v>116</v>
      </c>
      <c r="AC177"/>
      <c r="AD177"/>
      <c r="AE177" t="s">
        <v>116</v>
      </c>
      <c r="AF177" t="s">
        <v>117</v>
      </c>
      <c r="AG177" t="s">
        <v>118</v>
      </c>
      <c r="AH177" t="s">
        <v>119</v>
      </c>
      <c r="AI177" t="s">
        <v>120</v>
      </c>
      <c r="AJ177" t="s">
        <v>121</v>
      </c>
      <c r="AK177" t="s">
        <v>122</v>
      </c>
      <c r="AL177" t="s">
        <v>356</v>
      </c>
      <c r="AM177" t="s">
        <v>357</v>
      </c>
      <c r="AN177" t="s">
        <v>358</v>
      </c>
      <c r="AO177"/>
      <c r="AP177"/>
      <c r="AQ177" t="s">
        <v>116</v>
      </c>
      <c r="AR177"/>
      <c r="AS177"/>
      <c r="AT177" t="s">
        <v>116</v>
      </c>
      <c r="AU177"/>
      <c r="AV177"/>
      <c r="AW177" t="s">
        <v>116</v>
      </c>
      <c r="AX177"/>
      <c r="AY177"/>
      <c r="AZ177" t="s">
        <v>116</v>
      </c>
      <c r="BA177"/>
      <c r="BB177"/>
      <c r="BC177" t="s">
        <v>116</v>
      </c>
      <c r="BD177"/>
      <c r="BE177"/>
      <c r="BF177" t="s">
        <v>116</v>
      </c>
      <c r="BG177"/>
      <c r="BH177"/>
      <c r="BI177" t="s">
        <v>116</v>
      </c>
      <c r="BJ177"/>
      <c r="BK177"/>
      <c r="BL177" s="8">
        <v>0</v>
      </c>
      <c r="BM177" s="8">
        <v>1353.86</v>
      </c>
      <c r="BN177" s="8">
        <v>1353.86</v>
      </c>
      <c r="BO177" s="8">
        <v>0</v>
      </c>
      <c r="BP177" s="8">
        <v>-1353.86</v>
      </c>
      <c r="BQ177" s="8">
        <v>0</v>
      </c>
      <c r="BR177" s="8">
        <v>0</v>
      </c>
      <c r="BS177" s="8">
        <v>0</v>
      </c>
      <c r="BT177" s="8">
        <v>0</v>
      </c>
      <c r="BU177" s="8">
        <v>0</v>
      </c>
      <c r="BV177" s="8">
        <v>0</v>
      </c>
      <c r="BW177" s="8">
        <v>0</v>
      </c>
      <c r="BX177" s="8">
        <v>0</v>
      </c>
      <c r="BY177" t="s">
        <v>99</v>
      </c>
      <c r="BZ177" t="s">
        <v>123</v>
      </c>
      <c r="CA177"/>
      <c r="CB177"/>
      <c r="CC177"/>
      <c r="CD177"/>
      <c r="CE177"/>
      <c r="CF177"/>
      <c r="CG177"/>
      <c r="CH177"/>
      <c r="CI177"/>
      <c r="CJ177"/>
      <c r="CK177"/>
      <c r="CL177"/>
      <c r="CM177"/>
      <c r="CN177"/>
      <c r="CO177"/>
      <c r="CP177"/>
      <c r="CQ177"/>
      <c r="CR177"/>
      <c r="CS177"/>
      <c r="CT177"/>
      <c r="CU177"/>
      <c r="CV177"/>
      <c r="CW177"/>
      <c r="CX177"/>
      <c r="CY177"/>
      <c r="CZ177"/>
      <c r="DA177"/>
      <c r="DB177"/>
      <c r="DC177"/>
      <c r="DD177"/>
    </row>
    <row r="178" spans="1:108" x14ac:dyDescent="0.25">
      <c r="A178" t="s">
        <v>99</v>
      </c>
      <c r="B178" t="s">
        <v>100</v>
      </c>
      <c r="C178" t="s">
        <v>5</v>
      </c>
      <c r="D178" t="s">
        <v>101</v>
      </c>
      <c r="E178" t="s">
        <v>102</v>
      </c>
      <c r="F178" t="s">
        <v>103</v>
      </c>
      <c r="G178" t="s">
        <v>104</v>
      </c>
      <c r="H178" t="s">
        <v>416</v>
      </c>
      <c r="I178" s="6" t="s">
        <v>417</v>
      </c>
      <c r="J178" s="6" t="s">
        <v>418</v>
      </c>
      <c r="K178" s="6" t="s">
        <v>419</v>
      </c>
      <c r="L178" s="6" t="s">
        <v>420</v>
      </c>
      <c r="M178" s="6" t="s">
        <v>421</v>
      </c>
      <c r="N178" s="6" t="s">
        <v>422</v>
      </c>
      <c r="O178" s="6" t="s">
        <v>112</v>
      </c>
      <c r="P178" s="6" t="s">
        <v>423</v>
      </c>
      <c r="Q178" s="6" t="s">
        <v>434</v>
      </c>
      <c r="R178" t="s">
        <v>112</v>
      </c>
      <c r="S178" t="s">
        <v>435</v>
      </c>
      <c r="T178"/>
      <c r="U178"/>
      <c r="V178" t="s">
        <v>116</v>
      </c>
      <c r="W178"/>
      <c r="X178"/>
      <c r="Y178" t="s">
        <v>116</v>
      </c>
      <c r="Z178"/>
      <c r="AA178"/>
      <c r="AB178" t="s">
        <v>116</v>
      </c>
      <c r="AC178"/>
      <c r="AD178"/>
      <c r="AE178" t="s">
        <v>116</v>
      </c>
      <c r="AF178" t="s">
        <v>117</v>
      </c>
      <c r="AG178" t="s">
        <v>118</v>
      </c>
      <c r="AH178" t="s">
        <v>119</v>
      </c>
      <c r="AI178" t="s">
        <v>120</v>
      </c>
      <c r="AJ178" t="s">
        <v>121</v>
      </c>
      <c r="AK178" t="s">
        <v>122</v>
      </c>
      <c r="AL178" t="s">
        <v>363</v>
      </c>
      <c r="AM178" t="s">
        <v>364</v>
      </c>
      <c r="AN178" t="s">
        <v>365</v>
      </c>
      <c r="AO178"/>
      <c r="AP178"/>
      <c r="AQ178" t="s">
        <v>116</v>
      </c>
      <c r="AR178"/>
      <c r="AS178"/>
      <c r="AT178" t="s">
        <v>116</v>
      </c>
      <c r="AU178"/>
      <c r="AV178"/>
      <c r="AW178" t="s">
        <v>116</v>
      </c>
      <c r="AX178"/>
      <c r="AY178"/>
      <c r="AZ178" t="s">
        <v>116</v>
      </c>
      <c r="BA178"/>
      <c r="BB178"/>
      <c r="BC178" t="s">
        <v>116</v>
      </c>
      <c r="BD178"/>
      <c r="BE178"/>
      <c r="BF178" t="s">
        <v>116</v>
      </c>
      <c r="BG178"/>
      <c r="BH178"/>
      <c r="BI178" t="s">
        <v>116</v>
      </c>
      <c r="BJ178"/>
      <c r="BK178"/>
      <c r="BL178" s="8">
        <v>0</v>
      </c>
      <c r="BM178" s="8">
        <v>206.8</v>
      </c>
      <c r="BN178" s="8">
        <v>206.8</v>
      </c>
      <c r="BO178" s="8">
        <v>0</v>
      </c>
      <c r="BP178" s="8">
        <v>-206.8</v>
      </c>
      <c r="BQ178" s="8">
        <v>0</v>
      </c>
      <c r="BR178" s="8">
        <v>0</v>
      </c>
      <c r="BS178" s="8">
        <v>0</v>
      </c>
      <c r="BT178" s="8">
        <v>0</v>
      </c>
      <c r="BU178" s="8">
        <v>0</v>
      </c>
      <c r="BV178" s="8">
        <v>0</v>
      </c>
      <c r="BW178" s="8">
        <v>0</v>
      </c>
      <c r="BX178" s="8">
        <v>0</v>
      </c>
      <c r="BY178" t="s">
        <v>99</v>
      </c>
      <c r="BZ178" t="s">
        <v>123</v>
      </c>
      <c r="CA178"/>
      <c r="CB178"/>
      <c r="CC178"/>
      <c r="CD178"/>
      <c r="CE178"/>
      <c r="CF178"/>
      <c r="CG178"/>
      <c r="CH178"/>
      <c r="CI178"/>
      <c r="CJ178"/>
      <c r="CK178"/>
      <c r="CL178"/>
      <c r="CM178"/>
      <c r="CN178"/>
      <c r="CO178"/>
      <c r="CP178"/>
      <c r="CQ178"/>
      <c r="CR178"/>
      <c r="CS178"/>
      <c r="CT178"/>
      <c r="CU178"/>
      <c r="CV178"/>
      <c r="CW178"/>
      <c r="CX178"/>
      <c r="CY178"/>
      <c r="CZ178"/>
      <c r="DA178"/>
      <c r="DB178"/>
      <c r="DC178"/>
      <c r="DD178"/>
    </row>
    <row r="179" spans="1:108" x14ac:dyDescent="0.25">
      <c r="A179" t="s">
        <v>99</v>
      </c>
      <c r="B179" t="s">
        <v>100</v>
      </c>
      <c r="C179" t="s">
        <v>5</v>
      </c>
      <c r="D179" t="s">
        <v>101</v>
      </c>
      <c r="E179" t="s">
        <v>102</v>
      </c>
      <c r="F179" t="s">
        <v>103</v>
      </c>
      <c r="G179" t="s">
        <v>104</v>
      </c>
      <c r="H179" t="s">
        <v>416</v>
      </c>
      <c r="I179" s="6" t="s">
        <v>417</v>
      </c>
      <c r="J179" s="6" t="s">
        <v>418</v>
      </c>
      <c r="K179" s="6" t="s">
        <v>419</v>
      </c>
      <c r="L179" s="6" t="s">
        <v>420</v>
      </c>
      <c r="M179" s="6" t="s">
        <v>421</v>
      </c>
      <c r="N179" s="6" t="s">
        <v>422</v>
      </c>
      <c r="O179" s="6" t="s">
        <v>112</v>
      </c>
      <c r="P179" s="6" t="s">
        <v>423</v>
      </c>
      <c r="Q179" s="6" t="s">
        <v>436</v>
      </c>
      <c r="R179" t="s">
        <v>112</v>
      </c>
      <c r="S179" t="s">
        <v>437</v>
      </c>
      <c r="T179"/>
      <c r="U179"/>
      <c r="V179" t="s">
        <v>116</v>
      </c>
      <c r="W179"/>
      <c r="X179"/>
      <c r="Y179" t="s">
        <v>116</v>
      </c>
      <c r="Z179"/>
      <c r="AA179"/>
      <c r="AB179" t="s">
        <v>116</v>
      </c>
      <c r="AC179"/>
      <c r="AD179"/>
      <c r="AE179" t="s">
        <v>116</v>
      </c>
      <c r="AF179" t="s">
        <v>117</v>
      </c>
      <c r="AG179" t="s">
        <v>118</v>
      </c>
      <c r="AH179" t="s">
        <v>119</v>
      </c>
      <c r="AI179" t="s">
        <v>120</v>
      </c>
      <c r="AJ179" t="s">
        <v>121</v>
      </c>
      <c r="AK179" t="s">
        <v>122</v>
      </c>
      <c r="AL179"/>
      <c r="AM179"/>
      <c r="AN179" t="s">
        <v>116</v>
      </c>
      <c r="AO179"/>
      <c r="AP179"/>
      <c r="AQ179" t="s">
        <v>116</v>
      </c>
      <c r="AR179"/>
      <c r="AS179"/>
      <c r="AT179" t="s">
        <v>116</v>
      </c>
      <c r="AU179"/>
      <c r="AV179"/>
      <c r="AW179" t="s">
        <v>116</v>
      </c>
      <c r="AX179"/>
      <c r="AY179"/>
      <c r="AZ179" t="s">
        <v>116</v>
      </c>
      <c r="BA179"/>
      <c r="BB179"/>
      <c r="BC179" t="s">
        <v>116</v>
      </c>
      <c r="BD179"/>
      <c r="BE179"/>
      <c r="BF179" t="s">
        <v>116</v>
      </c>
      <c r="BG179"/>
      <c r="BH179"/>
      <c r="BI179" t="s">
        <v>116</v>
      </c>
      <c r="BJ179"/>
      <c r="BK179"/>
      <c r="BL179" s="8">
        <v>5367.49</v>
      </c>
      <c r="BM179" s="8">
        <v>0</v>
      </c>
      <c r="BN179" s="8">
        <v>0</v>
      </c>
      <c r="BO179" s="8">
        <v>0</v>
      </c>
      <c r="BP179" s="8">
        <v>5367.49</v>
      </c>
      <c r="BQ179" s="8">
        <v>0</v>
      </c>
      <c r="BR179" s="8">
        <v>0</v>
      </c>
      <c r="BS179" s="8">
        <v>0</v>
      </c>
      <c r="BT179" s="8">
        <v>0</v>
      </c>
      <c r="BU179" s="8">
        <v>0</v>
      </c>
      <c r="BV179" s="8">
        <v>0</v>
      </c>
      <c r="BW179" s="8">
        <v>0</v>
      </c>
      <c r="BX179" s="8">
        <v>0</v>
      </c>
      <c r="BY179" t="s">
        <v>99</v>
      </c>
      <c r="BZ179" t="s">
        <v>123</v>
      </c>
      <c r="CA179"/>
      <c r="CB179"/>
      <c r="CC179"/>
      <c r="CD179"/>
      <c r="CE179"/>
      <c r="CF179"/>
      <c r="CG179"/>
      <c r="CH179"/>
      <c r="CI179"/>
      <c r="CJ179"/>
      <c r="CK179"/>
      <c r="CL179"/>
      <c r="CM179"/>
      <c r="CN179"/>
      <c r="CO179"/>
      <c r="CP179"/>
      <c r="CQ179"/>
      <c r="CR179"/>
      <c r="CS179"/>
      <c r="CT179"/>
      <c r="CU179"/>
      <c r="CV179"/>
      <c r="CW179"/>
      <c r="CX179"/>
      <c r="CY179"/>
      <c r="CZ179"/>
      <c r="DA179"/>
      <c r="DB179"/>
      <c r="DC179"/>
      <c r="DD179"/>
    </row>
    <row r="180" spans="1:108" x14ac:dyDescent="0.25">
      <c r="A180" t="s">
        <v>99</v>
      </c>
      <c r="B180" t="s">
        <v>100</v>
      </c>
      <c r="C180" t="s">
        <v>5</v>
      </c>
      <c r="D180" t="s">
        <v>101</v>
      </c>
      <c r="E180" t="s">
        <v>102</v>
      </c>
      <c r="F180" t="s">
        <v>103</v>
      </c>
      <c r="G180" t="s">
        <v>104</v>
      </c>
      <c r="H180" t="s">
        <v>416</v>
      </c>
      <c r="I180" s="6" t="s">
        <v>417</v>
      </c>
      <c r="J180" s="6" t="s">
        <v>418</v>
      </c>
      <c r="K180" s="6" t="s">
        <v>419</v>
      </c>
      <c r="L180" s="6" t="s">
        <v>420</v>
      </c>
      <c r="M180" s="6" t="s">
        <v>421</v>
      </c>
      <c r="N180" s="6" t="s">
        <v>422</v>
      </c>
      <c r="O180" s="6" t="s">
        <v>112</v>
      </c>
      <c r="P180" s="6" t="s">
        <v>423</v>
      </c>
      <c r="Q180" s="6" t="s">
        <v>436</v>
      </c>
      <c r="R180" t="s">
        <v>112</v>
      </c>
      <c r="S180" t="s">
        <v>437</v>
      </c>
      <c r="T180"/>
      <c r="U180"/>
      <c r="V180" t="s">
        <v>116</v>
      </c>
      <c r="W180"/>
      <c r="X180"/>
      <c r="Y180" t="s">
        <v>116</v>
      </c>
      <c r="Z180"/>
      <c r="AA180"/>
      <c r="AB180" t="s">
        <v>116</v>
      </c>
      <c r="AC180"/>
      <c r="AD180"/>
      <c r="AE180" t="s">
        <v>116</v>
      </c>
      <c r="AF180" t="s">
        <v>117</v>
      </c>
      <c r="AG180" t="s">
        <v>118</v>
      </c>
      <c r="AH180" t="s">
        <v>119</v>
      </c>
      <c r="AI180" t="s">
        <v>120</v>
      </c>
      <c r="AJ180" t="s">
        <v>121</v>
      </c>
      <c r="AK180" t="s">
        <v>122</v>
      </c>
      <c r="AL180" t="s">
        <v>353</v>
      </c>
      <c r="AM180" t="s">
        <v>354</v>
      </c>
      <c r="AN180" t="s">
        <v>355</v>
      </c>
      <c r="AO180"/>
      <c r="AP180"/>
      <c r="AQ180" t="s">
        <v>116</v>
      </c>
      <c r="AR180"/>
      <c r="AS180"/>
      <c r="AT180" t="s">
        <v>116</v>
      </c>
      <c r="AU180"/>
      <c r="AV180"/>
      <c r="AW180" t="s">
        <v>116</v>
      </c>
      <c r="AX180"/>
      <c r="AY180"/>
      <c r="AZ180" t="s">
        <v>116</v>
      </c>
      <c r="BA180"/>
      <c r="BB180"/>
      <c r="BC180" t="s">
        <v>116</v>
      </c>
      <c r="BD180"/>
      <c r="BE180"/>
      <c r="BF180" t="s">
        <v>116</v>
      </c>
      <c r="BG180"/>
      <c r="BH180"/>
      <c r="BI180" t="s">
        <v>116</v>
      </c>
      <c r="BJ180"/>
      <c r="BK180"/>
      <c r="BL180" s="8">
        <v>0</v>
      </c>
      <c r="BM180" s="8">
        <v>5367.49</v>
      </c>
      <c r="BN180" s="8">
        <v>5367.49</v>
      </c>
      <c r="BO180" s="8">
        <v>0</v>
      </c>
      <c r="BP180" s="8">
        <v>-5367.49</v>
      </c>
      <c r="BQ180" s="8">
        <v>0</v>
      </c>
      <c r="BR180" s="8">
        <v>0</v>
      </c>
      <c r="BS180" s="8">
        <v>0</v>
      </c>
      <c r="BT180" s="8">
        <v>0</v>
      </c>
      <c r="BU180" s="8">
        <v>0</v>
      </c>
      <c r="BV180" s="8">
        <v>0</v>
      </c>
      <c r="BW180" s="8">
        <v>0</v>
      </c>
      <c r="BX180" s="8">
        <v>0</v>
      </c>
      <c r="BY180" t="s">
        <v>99</v>
      </c>
      <c r="BZ180" t="s">
        <v>123</v>
      </c>
      <c r="CA180"/>
      <c r="CB180"/>
      <c r="CC180"/>
      <c r="CD180"/>
      <c r="CE180"/>
      <c r="CF180"/>
      <c r="CG180"/>
      <c r="CH180"/>
      <c r="CI180"/>
      <c r="CJ180"/>
      <c r="CK180"/>
      <c r="CL180"/>
      <c r="CM180"/>
      <c r="CN180"/>
      <c r="CO180"/>
      <c r="CP180"/>
      <c r="CQ180"/>
      <c r="CR180"/>
      <c r="CS180"/>
      <c r="CT180"/>
      <c r="CU180"/>
      <c r="CV180"/>
      <c r="CW180"/>
      <c r="CX180"/>
      <c r="CY180"/>
      <c r="CZ180"/>
      <c r="DA180"/>
      <c r="DB180"/>
      <c r="DC180"/>
      <c r="DD180"/>
    </row>
    <row r="181" spans="1:108" x14ac:dyDescent="0.25">
      <c r="A181" t="s">
        <v>99</v>
      </c>
      <c r="B181" t="s">
        <v>100</v>
      </c>
      <c r="C181" t="s">
        <v>5</v>
      </c>
      <c r="D181" t="s">
        <v>101</v>
      </c>
      <c r="E181" t="s">
        <v>102</v>
      </c>
      <c r="F181" t="s">
        <v>103</v>
      </c>
      <c r="G181" t="s">
        <v>104</v>
      </c>
      <c r="H181" t="s">
        <v>416</v>
      </c>
      <c r="I181" s="6" t="s">
        <v>417</v>
      </c>
      <c r="J181" s="6" t="s">
        <v>418</v>
      </c>
      <c r="K181" s="6" t="s">
        <v>419</v>
      </c>
      <c r="L181" s="6" t="s">
        <v>420</v>
      </c>
      <c r="M181" s="6" t="s">
        <v>421</v>
      </c>
      <c r="N181" s="6" t="s">
        <v>422</v>
      </c>
      <c r="O181" s="6" t="s">
        <v>112</v>
      </c>
      <c r="P181" s="6" t="s">
        <v>423</v>
      </c>
      <c r="Q181" s="6" t="s">
        <v>438</v>
      </c>
      <c r="R181" t="s">
        <v>112</v>
      </c>
      <c r="S181" t="s">
        <v>439</v>
      </c>
      <c r="T181"/>
      <c r="U181"/>
      <c r="V181" t="s">
        <v>116</v>
      </c>
      <c r="W181"/>
      <c r="X181"/>
      <c r="Y181" t="s">
        <v>116</v>
      </c>
      <c r="Z181"/>
      <c r="AA181"/>
      <c r="AB181" t="s">
        <v>116</v>
      </c>
      <c r="AC181"/>
      <c r="AD181"/>
      <c r="AE181" t="s">
        <v>116</v>
      </c>
      <c r="AF181" t="s">
        <v>117</v>
      </c>
      <c r="AG181" t="s">
        <v>118</v>
      </c>
      <c r="AH181" t="s">
        <v>119</v>
      </c>
      <c r="AI181" t="s">
        <v>120</v>
      </c>
      <c r="AJ181" t="s">
        <v>121</v>
      </c>
      <c r="AK181" t="s">
        <v>122</v>
      </c>
      <c r="AL181"/>
      <c r="AM181"/>
      <c r="AN181" t="s">
        <v>116</v>
      </c>
      <c r="AO181"/>
      <c r="AP181"/>
      <c r="AQ181" t="s">
        <v>116</v>
      </c>
      <c r="AR181"/>
      <c r="AS181"/>
      <c r="AT181" t="s">
        <v>116</v>
      </c>
      <c r="AU181"/>
      <c r="AV181"/>
      <c r="AW181" t="s">
        <v>116</v>
      </c>
      <c r="AX181"/>
      <c r="AY181"/>
      <c r="AZ181" t="s">
        <v>116</v>
      </c>
      <c r="BA181"/>
      <c r="BB181"/>
      <c r="BC181" t="s">
        <v>116</v>
      </c>
      <c r="BD181"/>
      <c r="BE181"/>
      <c r="BF181" t="s">
        <v>116</v>
      </c>
      <c r="BG181"/>
      <c r="BH181"/>
      <c r="BI181" t="s">
        <v>116</v>
      </c>
      <c r="BJ181"/>
      <c r="BK181"/>
      <c r="BL181" s="8">
        <v>142221.53</v>
      </c>
      <c r="BM181" s="8">
        <v>0</v>
      </c>
      <c r="BN181" s="8">
        <v>0</v>
      </c>
      <c r="BO181" s="8">
        <v>0</v>
      </c>
      <c r="BP181" s="8">
        <v>142221.53</v>
      </c>
      <c r="BQ181" s="8">
        <v>0</v>
      </c>
      <c r="BR181" s="8">
        <v>0</v>
      </c>
      <c r="BS181" s="8">
        <v>0</v>
      </c>
      <c r="BT181" s="8">
        <v>0</v>
      </c>
      <c r="BU181" s="8">
        <v>0</v>
      </c>
      <c r="BV181" s="8">
        <v>0</v>
      </c>
      <c r="BW181" s="8">
        <v>0</v>
      </c>
      <c r="BX181" s="8">
        <v>0</v>
      </c>
      <c r="BY181" t="s">
        <v>99</v>
      </c>
      <c r="BZ181" t="s">
        <v>123</v>
      </c>
      <c r="CA181"/>
      <c r="CB181"/>
      <c r="CC181"/>
      <c r="CD181"/>
      <c r="CE181"/>
      <c r="CF181"/>
      <c r="CG181"/>
      <c r="CH181"/>
      <c r="CI181"/>
      <c r="CJ181"/>
      <c r="CK181"/>
      <c r="CL181"/>
      <c r="CM181"/>
      <c r="CN181"/>
      <c r="CO181"/>
      <c r="CP181"/>
      <c r="CQ181"/>
      <c r="CR181"/>
      <c r="CS181"/>
      <c r="CT181"/>
      <c r="CU181"/>
      <c r="CV181"/>
      <c r="CW181"/>
      <c r="CX181"/>
      <c r="CY181"/>
      <c r="CZ181"/>
      <c r="DA181"/>
      <c r="DB181"/>
      <c r="DC181"/>
      <c r="DD181"/>
    </row>
    <row r="182" spans="1:108" x14ac:dyDescent="0.25">
      <c r="A182" t="s">
        <v>99</v>
      </c>
      <c r="B182" t="s">
        <v>100</v>
      </c>
      <c r="C182" t="s">
        <v>5</v>
      </c>
      <c r="D182" t="s">
        <v>101</v>
      </c>
      <c r="E182" t="s">
        <v>102</v>
      </c>
      <c r="F182" t="s">
        <v>103</v>
      </c>
      <c r="G182" t="s">
        <v>104</v>
      </c>
      <c r="H182" t="s">
        <v>416</v>
      </c>
      <c r="I182" s="6" t="s">
        <v>417</v>
      </c>
      <c r="J182" s="6" t="s">
        <v>418</v>
      </c>
      <c r="K182" s="6" t="s">
        <v>419</v>
      </c>
      <c r="L182" s="6" t="s">
        <v>420</v>
      </c>
      <c r="M182" s="6" t="s">
        <v>421</v>
      </c>
      <c r="N182" s="6" t="s">
        <v>422</v>
      </c>
      <c r="O182" s="6" t="s">
        <v>112</v>
      </c>
      <c r="P182" s="6" t="s">
        <v>423</v>
      </c>
      <c r="Q182" s="6" t="s">
        <v>438</v>
      </c>
      <c r="R182" t="s">
        <v>112</v>
      </c>
      <c r="S182" t="s">
        <v>439</v>
      </c>
      <c r="T182"/>
      <c r="U182"/>
      <c r="V182" t="s">
        <v>116</v>
      </c>
      <c r="W182"/>
      <c r="X182"/>
      <c r="Y182" t="s">
        <v>116</v>
      </c>
      <c r="Z182"/>
      <c r="AA182"/>
      <c r="AB182" t="s">
        <v>116</v>
      </c>
      <c r="AC182"/>
      <c r="AD182"/>
      <c r="AE182" t="s">
        <v>116</v>
      </c>
      <c r="AF182" t="s">
        <v>117</v>
      </c>
      <c r="AG182" t="s">
        <v>118</v>
      </c>
      <c r="AH182" t="s">
        <v>119</v>
      </c>
      <c r="AI182" t="s">
        <v>120</v>
      </c>
      <c r="AJ182" t="s">
        <v>121</v>
      </c>
      <c r="AK182" t="s">
        <v>122</v>
      </c>
      <c r="AL182" t="s">
        <v>179</v>
      </c>
      <c r="AM182" t="s">
        <v>180</v>
      </c>
      <c r="AN182" t="s">
        <v>181</v>
      </c>
      <c r="AO182"/>
      <c r="AP182"/>
      <c r="AQ182" t="s">
        <v>116</v>
      </c>
      <c r="AR182"/>
      <c r="AS182"/>
      <c r="AT182" t="s">
        <v>116</v>
      </c>
      <c r="AU182"/>
      <c r="AV182"/>
      <c r="AW182" t="s">
        <v>116</v>
      </c>
      <c r="AX182"/>
      <c r="AY182"/>
      <c r="AZ182" t="s">
        <v>116</v>
      </c>
      <c r="BA182"/>
      <c r="BB182"/>
      <c r="BC182" t="s">
        <v>116</v>
      </c>
      <c r="BD182"/>
      <c r="BE182"/>
      <c r="BF182" t="s">
        <v>116</v>
      </c>
      <c r="BG182"/>
      <c r="BH182"/>
      <c r="BI182" t="s">
        <v>116</v>
      </c>
      <c r="BJ182"/>
      <c r="BK182"/>
      <c r="BL182" s="8">
        <v>0</v>
      </c>
      <c r="BM182" s="8">
        <v>142221.53</v>
      </c>
      <c r="BN182" s="8">
        <v>142221.53</v>
      </c>
      <c r="BO182" s="8">
        <v>0</v>
      </c>
      <c r="BP182" s="8">
        <v>-142221.53</v>
      </c>
      <c r="BQ182" s="8">
        <v>0</v>
      </c>
      <c r="BR182" s="8">
        <v>0</v>
      </c>
      <c r="BS182" s="8">
        <v>0</v>
      </c>
      <c r="BT182" s="8">
        <v>0</v>
      </c>
      <c r="BU182" s="8">
        <v>0</v>
      </c>
      <c r="BV182" s="8">
        <v>0</v>
      </c>
      <c r="BW182" s="8">
        <v>0</v>
      </c>
      <c r="BX182" s="8">
        <v>0</v>
      </c>
      <c r="BY182" t="s">
        <v>99</v>
      </c>
      <c r="BZ182" t="s">
        <v>123</v>
      </c>
      <c r="CA182"/>
      <c r="CB182"/>
      <c r="CC182"/>
      <c r="CD182"/>
      <c r="CE182"/>
      <c r="CF182"/>
      <c r="CG182"/>
      <c r="CH182"/>
      <c r="CI182"/>
      <c r="CJ182"/>
      <c r="CK182"/>
      <c r="CL182"/>
      <c r="CM182"/>
      <c r="CN182"/>
      <c r="CO182"/>
      <c r="CP182"/>
      <c r="CQ182"/>
      <c r="CR182"/>
      <c r="CS182"/>
      <c r="CT182"/>
      <c r="CU182"/>
      <c r="CV182"/>
      <c r="CW182"/>
      <c r="CX182"/>
      <c r="CY182"/>
      <c r="CZ182"/>
      <c r="DA182"/>
      <c r="DB182"/>
      <c r="DC182"/>
      <c r="DD182"/>
    </row>
    <row r="183" spans="1:108" x14ac:dyDescent="0.25">
      <c r="A183" t="s">
        <v>99</v>
      </c>
      <c r="B183" t="s">
        <v>100</v>
      </c>
      <c r="C183" t="s">
        <v>5</v>
      </c>
      <c r="D183" t="s">
        <v>101</v>
      </c>
      <c r="E183" t="s">
        <v>102</v>
      </c>
      <c r="F183" t="s">
        <v>103</v>
      </c>
      <c r="G183" t="s">
        <v>104</v>
      </c>
      <c r="H183" t="s">
        <v>416</v>
      </c>
      <c r="I183" s="6" t="s">
        <v>417</v>
      </c>
      <c r="J183" s="6" t="s">
        <v>418</v>
      </c>
      <c r="K183" s="6" t="s">
        <v>419</v>
      </c>
      <c r="L183" s="6" t="s">
        <v>420</v>
      </c>
      <c r="M183" s="6" t="s">
        <v>421</v>
      </c>
      <c r="N183" s="6" t="s">
        <v>440</v>
      </c>
      <c r="O183" s="6" t="s">
        <v>112</v>
      </c>
      <c r="P183" s="6" t="s">
        <v>441</v>
      </c>
      <c r="Q183" s="6" t="s">
        <v>442</v>
      </c>
      <c r="R183" t="s">
        <v>112</v>
      </c>
      <c r="S183" t="s">
        <v>443</v>
      </c>
      <c r="T183"/>
      <c r="U183"/>
      <c r="V183" t="s">
        <v>116</v>
      </c>
      <c r="W183"/>
      <c r="X183"/>
      <c r="Y183" t="s">
        <v>116</v>
      </c>
      <c r="Z183"/>
      <c r="AA183"/>
      <c r="AB183" t="s">
        <v>116</v>
      </c>
      <c r="AC183"/>
      <c r="AD183"/>
      <c r="AE183" t="s">
        <v>116</v>
      </c>
      <c r="AF183" t="s">
        <v>117</v>
      </c>
      <c r="AG183" t="s">
        <v>118</v>
      </c>
      <c r="AH183" t="s">
        <v>119</v>
      </c>
      <c r="AI183" t="s">
        <v>120</v>
      </c>
      <c r="AJ183" t="s">
        <v>121</v>
      </c>
      <c r="AK183" t="s">
        <v>122</v>
      </c>
      <c r="AL183"/>
      <c r="AM183"/>
      <c r="AN183" t="s">
        <v>116</v>
      </c>
      <c r="AO183"/>
      <c r="AP183"/>
      <c r="AQ183" t="s">
        <v>116</v>
      </c>
      <c r="AR183"/>
      <c r="AS183"/>
      <c r="AT183" t="s">
        <v>116</v>
      </c>
      <c r="AU183"/>
      <c r="AV183"/>
      <c r="AW183" t="s">
        <v>116</v>
      </c>
      <c r="AX183"/>
      <c r="AY183"/>
      <c r="AZ183" t="s">
        <v>116</v>
      </c>
      <c r="BA183"/>
      <c r="BB183"/>
      <c r="BC183" t="s">
        <v>116</v>
      </c>
      <c r="BD183"/>
      <c r="BE183"/>
      <c r="BF183" t="s">
        <v>116</v>
      </c>
      <c r="BG183"/>
      <c r="BH183"/>
      <c r="BI183" t="s">
        <v>116</v>
      </c>
      <c r="BJ183"/>
      <c r="BK183"/>
      <c r="BL183" s="8">
        <v>15370.95</v>
      </c>
      <c r="BM183" s="8">
        <v>0</v>
      </c>
      <c r="BN183" s="8">
        <v>0</v>
      </c>
      <c r="BO183" s="8">
        <v>0</v>
      </c>
      <c r="BP183" s="8">
        <v>15370.95</v>
      </c>
      <c r="BQ183" s="8">
        <v>0</v>
      </c>
      <c r="BR183" s="8">
        <v>0</v>
      </c>
      <c r="BS183" s="8">
        <v>0</v>
      </c>
      <c r="BT183" s="8">
        <v>0</v>
      </c>
      <c r="BU183" s="8">
        <v>0</v>
      </c>
      <c r="BV183" s="8">
        <v>0</v>
      </c>
      <c r="BW183" s="8">
        <v>0</v>
      </c>
      <c r="BX183" s="8">
        <v>0</v>
      </c>
      <c r="BY183" t="s">
        <v>99</v>
      </c>
      <c r="BZ183" t="s">
        <v>123</v>
      </c>
      <c r="CA183"/>
      <c r="CB183"/>
      <c r="CC183"/>
      <c r="CD183"/>
      <c r="CE183"/>
      <c r="CF183"/>
      <c r="CG183"/>
      <c r="CH183"/>
      <c r="CI183"/>
      <c r="CJ183"/>
      <c r="CK183"/>
      <c r="CL183"/>
      <c r="CM183"/>
      <c r="CN183"/>
      <c r="CO183"/>
      <c r="CP183"/>
      <c r="CQ183"/>
      <c r="CR183"/>
      <c r="CS183"/>
      <c r="CT183"/>
      <c r="CU183"/>
      <c r="CV183"/>
      <c r="CW183"/>
      <c r="CX183"/>
      <c r="CY183"/>
      <c r="CZ183"/>
      <c r="DA183"/>
      <c r="DB183"/>
      <c r="DC183"/>
      <c r="DD183"/>
    </row>
    <row r="184" spans="1:108" x14ac:dyDescent="0.25">
      <c r="A184" t="s">
        <v>99</v>
      </c>
      <c r="B184" t="s">
        <v>100</v>
      </c>
      <c r="C184" t="s">
        <v>5</v>
      </c>
      <c r="D184" t="s">
        <v>101</v>
      </c>
      <c r="E184" t="s">
        <v>102</v>
      </c>
      <c r="F184" t="s">
        <v>103</v>
      </c>
      <c r="G184" t="s">
        <v>104</v>
      </c>
      <c r="H184" t="s">
        <v>416</v>
      </c>
      <c r="I184" s="6" t="s">
        <v>417</v>
      </c>
      <c r="J184" s="6" t="s">
        <v>418</v>
      </c>
      <c r="K184" s="6" t="s">
        <v>419</v>
      </c>
      <c r="L184" s="6" t="s">
        <v>420</v>
      </c>
      <c r="M184" s="6" t="s">
        <v>421</v>
      </c>
      <c r="N184" s="6" t="s">
        <v>440</v>
      </c>
      <c r="O184" s="6" t="s">
        <v>112</v>
      </c>
      <c r="P184" s="6" t="s">
        <v>441</v>
      </c>
      <c r="Q184" s="6" t="s">
        <v>442</v>
      </c>
      <c r="R184" t="s">
        <v>112</v>
      </c>
      <c r="S184" t="s">
        <v>443</v>
      </c>
      <c r="T184"/>
      <c r="U184"/>
      <c r="V184" t="s">
        <v>116</v>
      </c>
      <c r="W184"/>
      <c r="X184"/>
      <c r="Y184" t="s">
        <v>116</v>
      </c>
      <c r="Z184"/>
      <c r="AA184"/>
      <c r="AB184" t="s">
        <v>116</v>
      </c>
      <c r="AC184"/>
      <c r="AD184"/>
      <c r="AE184" t="s">
        <v>116</v>
      </c>
      <c r="AF184" t="s">
        <v>117</v>
      </c>
      <c r="AG184" t="s">
        <v>118</v>
      </c>
      <c r="AH184" t="s">
        <v>119</v>
      </c>
      <c r="AI184" t="s">
        <v>120</v>
      </c>
      <c r="AJ184" t="s">
        <v>121</v>
      </c>
      <c r="AK184" t="s">
        <v>122</v>
      </c>
      <c r="AL184" t="s">
        <v>444</v>
      </c>
      <c r="AM184" t="s">
        <v>445</v>
      </c>
      <c r="AN184" t="s">
        <v>446</v>
      </c>
      <c r="AO184"/>
      <c r="AP184"/>
      <c r="AQ184" t="s">
        <v>116</v>
      </c>
      <c r="AR184"/>
      <c r="AS184"/>
      <c r="AT184" t="s">
        <v>116</v>
      </c>
      <c r="AU184"/>
      <c r="AV184"/>
      <c r="AW184" t="s">
        <v>116</v>
      </c>
      <c r="AX184"/>
      <c r="AY184"/>
      <c r="AZ184" t="s">
        <v>116</v>
      </c>
      <c r="BA184"/>
      <c r="BB184"/>
      <c r="BC184" t="s">
        <v>116</v>
      </c>
      <c r="BD184"/>
      <c r="BE184"/>
      <c r="BF184" t="s">
        <v>116</v>
      </c>
      <c r="BG184"/>
      <c r="BH184"/>
      <c r="BI184" t="s">
        <v>116</v>
      </c>
      <c r="BJ184"/>
      <c r="BK184"/>
      <c r="BL184" s="8">
        <v>0</v>
      </c>
      <c r="BM184" s="8">
        <v>15370.95</v>
      </c>
      <c r="BN184" s="8">
        <v>15370.95</v>
      </c>
      <c r="BO184" s="8">
        <v>0</v>
      </c>
      <c r="BP184" s="8">
        <v>-15370.95</v>
      </c>
      <c r="BQ184" s="8">
        <v>0</v>
      </c>
      <c r="BR184" s="8">
        <v>0</v>
      </c>
      <c r="BS184" s="8">
        <v>0</v>
      </c>
      <c r="BT184" s="8">
        <v>0</v>
      </c>
      <c r="BU184" s="8">
        <v>0</v>
      </c>
      <c r="BV184" s="8">
        <v>0</v>
      </c>
      <c r="BW184" s="8">
        <v>0</v>
      </c>
      <c r="BX184" s="8">
        <v>0</v>
      </c>
      <c r="BY184" t="s">
        <v>99</v>
      </c>
      <c r="BZ184" t="s">
        <v>123</v>
      </c>
      <c r="CA184"/>
      <c r="CB184"/>
      <c r="CC184"/>
      <c r="CD184"/>
      <c r="CE184"/>
      <c r="CF184"/>
      <c r="CG184"/>
      <c r="CH184"/>
      <c r="CI184"/>
      <c r="CJ184"/>
      <c r="CK184"/>
      <c r="CL184"/>
      <c r="CM184"/>
      <c r="CN184"/>
      <c r="CO184"/>
      <c r="CP184"/>
      <c r="CQ184"/>
      <c r="CR184"/>
      <c r="CS184"/>
      <c r="CT184"/>
      <c r="CU184"/>
      <c r="CV184"/>
      <c r="CW184"/>
      <c r="CX184"/>
      <c r="CY184"/>
      <c r="CZ184"/>
      <c r="DA184"/>
      <c r="DB184"/>
      <c r="DC184"/>
      <c r="DD184"/>
    </row>
    <row r="185" spans="1:108" x14ac:dyDescent="0.25">
      <c r="A185" t="s">
        <v>99</v>
      </c>
      <c r="B185" t="s">
        <v>100</v>
      </c>
      <c r="C185" t="s">
        <v>5</v>
      </c>
      <c r="D185" t="s">
        <v>101</v>
      </c>
      <c r="E185" t="s">
        <v>102</v>
      </c>
      <c r="F185" t="s">
        <v>103</v>
      </c>
      <c r="G185" t="s">
        <v>104</v>
      </c>
      <c r="H185" t="s">
        <v>416</v>
      </c>
      <c r="I185" s="6" t="s">
        <v>417</v>
      </c>
      <c r="J185" s="6" t="s">
        <v>418</v>
      </c>
      <c r="K185" s="6" t="s">
        <v>419</v>
      </c>
      <c r="L185" s="6" t="s">
        <v>420</v>
      </c>
      <c r="M185" s="6" t="s">
        <v>421</v>
      </c>
      <c r="N185" s="6" t="s">
        <v>440</v>
      </c>
      <c r="O185" s="6" t="s">
        <v>112</v>
      </c>
      <c r="P185" s="6" t="s">
        <v>441</v>
      </c>
      <c r="Q185" s="6" t="s">
        <v>447</v>
      </c>
      <c r="R185" t="s">
        <v>112</v>
      </c>
      <c r="S185" t="s">
        <v>448</v>
      </c>
      <c r="T185"/>
      <c r="U185"/>
      <c r="V185" t="s">
        <v>116</v>
      </c>
      <c r="W185"/>
      <c r="X185"/>
      <c r="Y185" t="s">
        <v>116</v>
      </c>
      <c r="Z185"/>
      <c r="AA185"/>
      <c r="AB185" t="s">
        <v>116</v>
      </c>
      <c r="AC185"/>
      <c r="AD185"/>
      <c r="AE185" t="s">
        <v>116</v>
      </c>
      <c r="AF185" t="s">
        <v>117</v>
      </c>
      <c r="AG185" t="s">
        <v>118</v>
      </c>
      <c r="AH185" t="s">
        <v>119</v>
      </c>
      <c r="AI185" t="s">
        <v>120</v>
      </c>
      <c r="AJ185" t="s">
        <v>121</v>
      </c>
      <c r="AK185" t="s">
        <v>122</v>
      </c>
      <c r="AL185"/>
      <c r="AM185"/>
      <c r="AN185" t="s">
        <v>116</v>
      </c>
      <c r="AO185"/>
      <c r="AP185"/>
      <c r="AQ185" t="s">
        <v>116</v>
      </c>
      <c r="AR185"/>
      <c r="AS185"/>
      <c r="AT185" t="s">
        <v>116</v>
      </c>
      <c r="AU185"/>
      <c r="AV185"/>
      <c r="AW185" t="s">
        <v>116</v>
      </c>
      <c r="AX185"/>
      <c r="AY185"/>
      <c r="AZ185" t="s">
        <v>116</v>
      </c>
      <c r="BA185"/>
      <c r="BB185"/>
      <c r="BC185" t="s">
        <v>116</v>
      </c>
      <c r="BD185"/>
      <c r="BE185"/>
      <c r="BF185" t="s">
        <v>116</v>
      </c>
      <c r="BG185"/>
      <c r="BH185"/>
      <c r="BI185" t="s">
        <v>116</v>
      </c>
      <c r="BJ185"/>
      <c r="BK185"/>
      <c r="BL185" s="8">
        <v>1921.37</v>
      </c>
      <c r="BM185" s="8">
        <v>0</v>
      </c>
      <c r="BN185" s="8">
        <v>0</v>
      </c>
      <c r="BO185" s="8">
        <v>0</v>
      </c>
      <c r="BP185" s="8">
        <v>1921.37</v>
      </c>
      <c r="BQ185" s="8">
        <v>0</v>
      </c>
      <c r="BR185" s="8">
        <v>0</v>
      </c>
      <c r="BS185" s="8">
        <v>0</v>
      </c>
      <c r="BT185" s="8">
        <v>0</v>
      </c>
      <c r="BU185" s="8">
        <v>0</v>
      </c>
      <c r="BV185" s="8">
        <v>0</v>
      </c>
      <c r="BW185" s="8">
        <v>0</v>
      </c>
      <c r="BX185" s="8">
        <v>0</v>
      </c>
      <c r="BY185" t="s">
        <v>99</v>
      </c>
      <c r="BZ185" t="s">
        <v>123</v>
      </c>
      <c r="CA185"/>
      <c r="CB185"/>
      <c r="CC185"/>
      <c r="CD185"/>
      <c r="CE185"/>
      <c r="CF185"/>
      <c r="CG185"/>
      <c r="CH185"/>
      <c r="CI185"/>
      <c r="CJ185"/>
      <c r="CK185"/>
      <c r="CL185"/>
      <c r="CM185"/>
      <c r="CN185"/>
      <c r="CO185"/>
      <c r="CP185"/>
      <c r="CQ185"/>
      <c r="CR185"/>
      <c r="CS185"/>
      <c r="CT185"/>
      <c r="CU185"/>
      <c r="CV185"/>
      <c r="CW185"/>
      <c r="CX185"/>
      <c r="CY185"/>
      <c r="CZ185"/>
      <c r="DA185"/>
      <c r="DB185"/>
      <c r="DC185"/>
      <c r="DD185"/>
    </row>
    <row r="186" spans="1:108" x14ac:dyDescent="0.25">
      <c r="A186" t="s">
        <v>99</v>
      </c>
      <c r="B186" t="s">
        <v>100</v>
      </c>
      <c r="C186" t="s">
        <v>5</v>
      </c>
      <c r="D186" t="s">
        <v>101</v>
      </c>
      <c r="E186" t="s">
        <v>102</v>
      </c>
      <c r="F186" t="s">
        <v>103</v>
      </c>
      <c r="G186" t="s">
        <v>104</v>
      </c>
      <c r="H186" t="s">
        <v>416</v>
      </c>
      <c r="I186" s="6" t="s">
        <v>417</v>
      </c>
      <c r="J186" s="6" t="s">
        <v>418</v>
      </c>
      <c r="K186" s="6" t="s">
        <v>419</v>
      </c>
      <c r="L186" s="6" t="s">
        <v>420</v>
      </c>
      <c r="M186" s="6" t="s">
        <v>421</v>
      </c>
      <c r="N186" s="6" t="s">
        <v>440</v>
      </c>
      <c r="O186" s="6" t="s">
        <v>112</v>
      </c>
      <c r="P186" s="6" t="s">
        <v>441</v>
      </c>
      <c r="Q186" s="6" t="s">
        <v>447</v>
      </c>
      <c r="R186" t="s">
        <v>112</v>
      </c>
      <c r="S186" t="s">
        <v>448</v>
      </c>
      <c r="T186"/>
      <c r="U186"/>
      <c r="V186" t="s">
        <v>116</v>
      </c>
      <c r="W186"/>
      <c r="X186"/>
      <c r="Y186" t="s">
        <v>116</v>
      </c>
      <c r="Z186"/>
      <c r="AA186"/>
      <c r="AB186" t="s">
        <v>116</v>
      </c>
      <c r="AC186"/>
      <c r="AD186"/>
      <c r="AE186" t="s">
        <v>116</v>
      </c>
      <c r="AF186" t="s">
        <v>117</v>
      </c>
      <c r="AG186" t="s">
        <v>118</v>
      </c>
      <c r="AH186" t="s">
        <v>119</v>
      </c>
      <c r="AI186" t="s">
        <v>120</v>
      </c>
      <c r="AJ186" t="s">
        <v>121</v>
      </c>
      <c r="AK186" t="s">
        <v>122</v>
      </c>
      <c r="AL186" t="s">
        <v>444</v>
      </c>
      <c r="AM186" t="s">
        <v>445</v>
      </c>
      <c r="AN186" t="s">
        <v>446</v>
      </c>
      <c r="AO186"/>
      <c r="AP186"/>
      <c r="AQ186" t="s">
        <v>116</v>
      </c>
      <c r="AR186"/>
      <c r="AS186"/>
      <c r="AT186" t="s">
        <v>116</v>
      </c>
      <c r="AU186"/>
      <c r="AV186"/>
      <c r="AW186" t="s">
        <v>116</v>
      </c>
      <c r="AX186"/>
      <c r="AY186"/>
      <c r="AZ186" t="s">
        <v>116</v>
      </c>
      <c r="BA186"/>
      <c r="BB186"/>
      <c r="BC186" t="s">
        <v>116</v>
      </c>
      <c r="BD186"/>
      <c r="BE186"/>
      <c r="BF186" t="s">
        <v>116</v>
      </c>
      <c r="BG186"/>
      <c r="BH186"/>
      <c r="BI186" t="s">
        <v>116</v>
      </c>
      <c r="BJ186"/>
      <c r="BK186"/>
      <c r="BL186" s="8">
        <v>0</v>
      </c>
      <c r="BM186" s="8">
        <v>1921.37</v>
      </c>
      <c r="BN186" s="8">
        <v>1921.37</v>
      </c>
      <c r="BO186" s="8">
        <v>0</v>
      </c>
      <c r="BP186" s="8">
        <v>-1921.37</v>
      </c>
      <c r="BQ186" s="8">
        <v>0</v>
      </c>
      <c r="BR186" s="8">
        <v>0</v>
      </c>
      <c r="BS186" s="8">
        <v>0</v>
      </c>
      <c r="BT186" s="8">
        <v>0</v>
      </c>
      <c r="BU186" s="8">
        <v>0</v>
      </c>
      <c r="BV186" s="8">
        <v>0</v>
      </c>
      <c r="BW186" s="8">
        <v>0</v>
      </c>
      <c r="BX186" s="8">
        <v>0</v>
      </c>
      <c r="BY186" t="s">
        <v>99</v>
      </c>
      <c r="BZ186" t="s">
        <v>123</v>
      </c>
      <c r="CA186"/>
      <c r="CB186"/>
      <c r="CC186"/>
      <c r="CD186"/>
      <c r="CE186"/>
      <c r="CF186"/>
      <c r="CG186"/>
      <c r="CH186"/>
      <c r="CI186"/>
      <c r="CJ186"/>
      <c r="CK186"/>
      <c r="CL186"/>
      <c r="CM186"/>
      <c r="CN186"/>
      <c r="CO186"/>
      <c r="CP186"/>
      <c r="CQ186"/>
      <c r="CR186"/>
      <c r="CS186"/>
      <c r="CT186"/>
      <c r="CU186"/>
      <c r="CV186"/>
      <c r="CW186"/>
      <c r="CX186"/>
      <c r="CY186"/>
      <c r="CZ186"/>
      <c r="DA186"/>
      <c r="DB186"/>
      <c r="DC186"/>
      <c r="DD186"/>
    </row>
    <row r="187" spans="1:108" x14ac:dyDescent="0.25">
      <c r="A187" t="s">
        <v>99</v>
      </c>
      <c r="B187" t="s">
        <v>100</v>
      </c>
      <c r="C187" t="s">
        <v>5</v>
      </c>
      <c r="D187" t="s">
        <v>101</v>
      </c>
      <c r="E187" t="s">
        <v>449</v>
      </c>
      <c r="F187" t="s">
        <v>450</v>
      </c>
      <c r="G187" t="s">
        <v>451</v>
      </c>
      <c r="H187" t="s">
        <v>452</v>
      </c>
      <c r="I187" s="6" t="s">
        <v>453</v>
      </c>
      <c r="J187" s="6" t="s">
        <v>454</v>
      </c>
      <c r="K187" s="6" t="s">
        <v>455</v>
      </c>
      <c r="L187" s="6" t="s">
        <v>456</v>
      </c>
      <c r="M187" s="6" t="s">
        <v>457</v>
      </c>
      <c r="N187" s="6" t="s">
        <v>458</v>
      </c>
      <c r="O187" s="6" t="s">
        <v>112</v>
      </c>
      <c r="P187" s="6" t="s">
        <v>459</v>
      </c>
      <c r="Q187" s="6" t="s">
        <v>460</v>
      </c>
      <c r="R187" t="s">
        <v>112</v>
      </c>
      <c r="S187" t="s">
        <v>461</v>
      </c>
      <c r="T187"/>
      <c r="U187"/>
      <c r="V187" t="s">
        <v>116</v>
      </c>
      <c r="W187"/>
      <c r="X187"/>
      <c r="Y187" t="s">
        <v>116</v>
      </c>
      <c r="Z187"/>
      <c r="AA187"/>
      <c r="AB187" t="s">
        <v>116</v>
      </c>
      <c r="AC187"/>
      <c r="AD187"/>
      <c r="AE187" t="s">
        <v>116</v>
      </c>
      <c r="AF187" t="s">
        <v>117</v>
      </c>
      <c r="AG187" t="s">
        <v>118</v>
      </c>
      <c r="AH187" t="s">
        <v>119</v>
      </c>
      <c r="AI187" t="s">
        <v>120</v>
      </c>
      <c r="AJ187" t="s">
        <v>121</v>
      </c>
      <c r="AK187" t="s">
        <v>122</v>
      </c>
      <c r="AL187"/>
      <c r="AM187"/>
      <c r="AN187" t="s">
        <v>116</v>
      </c>
      <c r="AO187"/>
      <c r="AP187"/>
      <c r="AQ187" t="s">
        <v>116</v>
      </c>
      <c r="AR187"/>
      <c r="AS187"/>
      <c r="AT187" t="s">
        <v>116</v>
      </c>
      <c r="AU187"/>
      <c r="AV187"/>
      <c r="AW187" t="s">
        <v>116</v>
      </c>
      <c r="AX187"/>
      <c r="AY187"/>
      <c r="AZ187" t="s">
        <v>116</v>
      </c>
      <c r="BA187"/>
      <c r="BB187"/>
      <c r="BC187" t="s">
        <v>116</v>
      </c>
      <c r="BD187"/>
      <c r="BE187"/>
      <c r="BF187" t="s">
        <v>116</v>
      </c>
      <c r="BG187"/>
      <c r="BH187"/>
      <c r="BI187" t="s">
        <v>116</v>
      </c>
      <c r="BJ187"/>
      <c r="BK187"/>
      <c r="BL187" s="8">
        <v>4000</v>
      </c>
      <c r="BM187" s="8">
        <v>0</v>
      </c>
      <c r="BN187" s="8">
        <v>0</v>
      </c>
      <c r="BO187" s="8">
        <v>0</v>
      </c>
      <c r="BP187" s="8">
        <v>4000</v>
      </c>
      <c r="BQ187" s="8">
        <v>0</v>
      </c>
      <c r="BR187" s="8">
        <v>0</v>
      </c>
      <c r="BS187" s="8">
        <v>0</v>
      </c>
      <c r="BT187" s="8">
        <v>0</v>
      </c>
      <c r="BU187" s="8">
        <v>0</v>
      </c>
      <c r="BV187" s="8">
        <v>0</v>
      </c>
      <c r="BW187" s="8">
        <v>0</v>
      </c>
      <c r="BX187" s="8">
        <v>0</v>
      </c>
      <c r="BY187" t="s">
        <v>99</v>
      </c>
      <c r="BZ187" t="s">
        <v>123</v>
      </c>
      <c r="CA187"/>
      <c r="CB187"/>
      <c r="CC187"/>
      <c r="CD187"/>
      <c r="CE187"/>
      <c r="CF187"/>
      <c r="CG187"/>
      <c r="CH187"/>
      <c r="CI187"/>
      <c r="CJ187"/>
      <c r="CK187"/>
      <c r="CL187"/>
      <c r="CM187"/>
      <c r="CN187"/>
      <c r="CO187"/>
      <c r="CP187"/>
      <c r="CQ187"/>
      <c r="CR187"/>
      <c r="CS187"/>
      <c r="CT187"/>
      <c r="CU187"/>
      <c r="CV187"/>
      <c r="CW187"/>
      <c r="CX187"/>
      <c r="CY187"/>
      <c r="CZ187"/>
      <c r="DA187"/>
      <c r="DB187"/>
      <c r="DC187"/>
      <c r="DD187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ECBU</vt:lpstr>
      <vt:lpstr>Donnees</vt:lpstr>
    </vt:vector>
  </TitlesOfParts>
  <Company>Qualiac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delort</dc:creator>
  <cp:keywords>SXSSF</cp:keywords>
  <cp:lastModifiedBy>AgentComptable</cp:lastModifiedBy>
  <cp:lastPrinted>2021-11-19T10:53:58Z</cp:lastPrinted>
  <dcterms:created xsi:type="dcterms:W3CDTF">2014-10-10T13:20:55Z</dcterms:created>
  <dcterms:modified xsi:type="dcterms:W3CDTF">2026-03-30T15:57:40Z</dcterms:modified>
</cp:coreProperties>
</file>